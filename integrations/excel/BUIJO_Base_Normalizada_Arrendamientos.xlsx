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4ad55bfd2d41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fa01a0935114bf3"/>
    <x:sheet xmlns:r="http://schemas.openxmlformats.org/officeDocument/2006/relationships" name="Arrendamientos_Normalizados" sheetId="2" r:id="Rf1076af57d444831"/>
    <x:sheet xmlns:r="http://schemas.openxmlformats.org/officeDocument/2006/relationships" name="Propietarios_Direcciones" sheetId="3" r:id="Rcfd1df0724ce468c"/>
    <x:sheet xmlns:r="http://schemas.openxmlformats.org/officeDocument/2006/relationships" name="Requieren_Revision" sheetId="4" r:id="R7439639b9bd841cb"/>
    <x:sheet xmlns:r="http://schemas.openxmlformats.org/officeDocument/2006/relationships" name="Movimientos_Historicos" sheetId="5" r:id="R57d66b670eb1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5B9BD5"/>
      </x:patternFill>
    </x:fill>
  </x:fills>
  <x:borders count="14"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13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47155d91154082" /><Relationship Type="http://schemas.openxmlformats.org/officeDocument/2006/relationships/theme" Target="/xl/theme/theme1.xml" Id="Ra26712afdb684606" /><Relationship Type="http://schemas.microsoft.com/office/2022/11/relationships/FeaturePropertyBag" Target="/xl/featurePropertyBag/featurePropertyBag.xml" Id="Rc82d0760ab0345da" /><Relationship Type="http://schemas.openxmlformats.org/officeDocument/2006/relationships/sharedStrings" Target="/xl/sharedStrings.xml" Id="R1742ef649d3c41bc" /><Relationship Type="http://schemas.openxmlformats.org/officeDocument/2006/relationships/worksheet" Target="/xl/worksheets/sheet1.xml" Id="R1fa01a0935114bf3" /><Relationship Type="http://schemas.openxmlformats.org/officeDocument/2006/relationships/worksheet" Target="/xl/worksheets/sheet2.xml" Id="Rf1076af57d444831" /><Relationship Type="http://schemas.openxmlformats.org/officeDocument/2006/relationships/worksheet" Target="/xl/worksheets/sheet3.xml" Id="Rcfd1df0724ce468c" /><Relationship Type="http://schemas.openxmlformats.org/officeDocument/2006/relationships/worksheet" Target="/xl/worksheets/sheet4.xml" Id="R7439639b9bd841cb" /><Relationship Type="http://schemas.openxmlformats.org/officeDocument/2006/relationships/worksheet" Target="/xl/worksheets/sheet5.xml" Id="R57d66b670eb14b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rrendamientosNormalizados" displayName="ArrendamientosNormalizados" ref="A1:AA93" headerRowCount="1">
  <x:tableColumns count="27">
    <x:tableColumn id="1" name="legacyCode"/>
    <x:tableColumn id="2" name="legacyNumber"/>
    <x:tableColumn id="3" name="sourceSheet"/>
    <x:tableColumn id="4" name="sourceRow"/>
    <x:tableColumn id="5" name="address"/>
    <x:tableColumn id="6" name="city"/>
    <x:tableColumn id="7" name="neighborhood"/>
    <x:tableColumn id="8" name="locality"/>
    <x:tableColumn id="9" name="ownerName"/>
    <x:tableColumn id="10" name="tenantName"/>
    <x:tableColumn id="11" name="tenantDocument"/>
    <x:tableColumn id="12" name="tenantPhone"/>
    <x:tableColumn id="13" name="tenantEmail"/>
    <x:tableColumn id="14" name="tenantRaw"/>
    <x:tableColumn id="15" name="coTenantsRaw"/>
    <x:tableColumn id="16" name="leaseStatus"/>
    <x:tableColumn id="17" name="expectedPayment"/>
    <x:tableColumn id="18" name="expectedPaymentSource"/>
    <x:tableColumn id="19" name="ownerExpectedPayout"/>
    <x:tableColumn id="20" name="ownerPayoutSource"/>
    <x:tableColumn id="21" name="leaseStartDate"/>
    <x:tableColumn id="22" name="leaseEndDate"/>
    <x:tableColumn id="23" name="contractRaw"/>
    <x:tableColumn id="24" name="novelty"/>
    <x:tableColumn id="25" name="observations"/>
    <x:tableColumn id="26" name="needsReview"/>
    <x:tableColumn id="27" name="reviewFlags"/>
  </x:tableColumns>
  <x:tableStyleInfo name="TableStyleMedium2" showRowStripes="1"/>
</x:table>
</file>

<file path=xl/tables/table2.xml><?xml version="1.0" encoding="utf-8"?>
<x:table xmlns:x="http://schemas.openxmlformats.org/spreadsheetml/2006/main" id="2" name="PropietariosDirecciones" displayName="PropietariosDirecciones" ref="A1:G36" headerRowCount="1">
  <x:tableColumns count="7">
    <x:tableColumn id="1" name="sourceSheet"/>
    <x:tableColumn id="2" name="sourceRow"/>
    <x:tableColumn id="3" name="ownerName"/>
    <x:tableColumn id="4" name="ownerNormalized"/>
    <x:tableColumn id="5" name="address"/>
    <x:tableColumn id="6" name="ownerExpectedPayout"/>
    <x:tableColumn id="7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RegistrosRevision" displayName="RegistrosRevision" ref="A1:H33" headerRowCount="1">
  <x:tableColumns count="8">
    <x:tableColumn id="1" name="legacyCode"/>
    <x:tableColumn id="2" name="sourceRow"/>
    <x:tableColumn id="3" name="address"/>
    <x:tableColumn id="4" name="ownerName"/>
    <x:tableColumn id="5" name="tenantName"/>
    <x:tableColumn id="6" name="expectedPayment"/>
    <x:tableColumn id="7" name="leaseStatus"/>
    <x:tableColumn id="8" name="reviewFlags"/>
  </x:tableColumns>
  <x:tableStyleInfo name="TableStyleMedium2" showRowStripes="1"/>
</x:table>
</file>

<file path=xl/tables/table4.xml><?xml version="1.0" encoding="utf-8"?>
<x:table xmlns:x="http://schemas.openxmlformats.org/spreadsheetml/2006/main" id="4" name="MovimientosHistoricos" displayName="MovimientosHistoricos" ref="A1:E202" headerRowCount="1">
  <x:tableColumns count="5">
    <x:tableColumn id="1" name="sourceSheet"/>
    <x:tableColumn id="2" name="sourceRow"/>
    <x:tableColumn id="3" name="movementType"/>
    <x:tableColumn id="4" name="amount"/>
    <x:tableColumn id="5" name="conce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7bd5a0d72149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b8cb8f521e4f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864380c9b284c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74358ccbe64289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70" hidden="0" customWidth="1"/>
  </x:cols>
  <x:sheetData>
    <x:row r="1" ht="30" customHeight="1">
      <x:c r="A1" s="5" t="str">
        <x:v>BUIJO — Normalización del registro de arrendamientos</x:v>
      </x:c>
      <x:c r="B1" s="5"/>
      <x:c r="C1" s="5"/>
      <x:c r="D1" s="5"/>
      <x:c r="E1" s="5"/>
      <x:c r="F1" s="5"/>
    </x:row>
    <x:row r="3">
      <x:c r="A3" s="16" t="str">
        <x:v>Indicador</x:v>
      </x:c>
      <x:c r="B3" s="17" t="str">
        <x:v>Resultado</x:v>
      </x:c>
    </x:row>
    <x:row r="4">
      <x:c r="A4" s="18" t="str">
        <x:v>Registros de arrendamiento</x:v>
      </x:c>
      <x:c r="B4" s="19" t="n">
        <x:f>COUNTA(Arrendamientos_Normalizados!A2:A93)</x:f>
        <x:v>92</x:v>
      </x:c>
    </x:row>
    <x:row r="5">
      <x:c r="A5" s="18" t="str">
        <x:v>Arrendamientos activos</x:v>
      </x:c>
      <x:c r="B5" s="19" t="n">
        <x:f>COUNTIF(Arrendamientos_Normalizados!P2:P93,"ACTIVE")</x:f>
        <x:v>79</x:v>
      </x:c>
    </x:row>
    <x:row r="6">
      <x:c r="A6" s="18" t="str">
        <x:v>Terminados / revisión / preaviso</x:v>
      </x:c>
      <x:c r="B6" s="19" t="n">
        <x:f>COUNTIF(Arrendamientos_Normalizados!P2:P93,"ENDED")+COUNTIF(Arrendamientos_Normalizados!P2:P93,"LEGAL_REVIEW")+COUNTIF(Arrendamientos_Normalizados!P2:P93,"PRENOTICE")</x:f>
        <x:v>13</x:v>
      </x:c>
    </x:row>
    <x:row r="7">
      <x:c r="A7" s="18" t="str">
        <x:v>Registros que requieren revisión</x:v>
      </x:c>
      <x:c r="B7" s="19" t="n">
        <x:f>COUNTIF(Arrendamientos_Normalizados!Z2:Z93,1)</x:f>
        <x:v>32</x:v>
      </x:c>
    </x:row>
    <x:row r="8">
      <x:c r="A8" s="20" t="str">
        <x:v>Valor mensual esperado identificado</x:v>
      </x:c>
      <x:c r="B8" s="21" t="n">
        <x:f>SUM(Arrendamientos_Normalizados!Q2:Q93)</x:f>
        <x:v>125140600</x:v>
      </x:c>
    </x:row>
    <x:row r="10">
      <x:c r="A10" s="30" t="str">
        <x:v>Criterio de integración</x:v>
      </x:c>
      <x:c r="B10" s="30" t="str">
        <x:v>Decisión aplicada</x:v>
      </x:c>
      <x:c r="C10" s="30"/>
      <x:c r="D10" s="30"/>
      <x:c r="E10" s="30"/>
      <x:c r="F10" s="30"/>
    </x:row>
    <x:row r="11">
      <x:c r="A11" s="31" t="str">
        <x:v>Excel</x:v>
      </x:c>
      <x:c r="B11" s="31" t="str">
        <x:v>Fuente legada y registro empresarial para importación/revisión.</x:v>
      </x:c>
      <x:c r="C11" s="31"/>
      <x:c r="D11" s="31"/>
      <x:c r="E11" s="31"/>
      <x:c r="F11" s="31"/>
    </x:row>
    <x:row r="12">
      <x:c r="A12" s="31" t="str">
        <x:v>Prisma/PostgreSQL</x:v>
      </x:c>
      <x:c r="B12" s="31" t="str">
        <x:v>Fuente operacional para usuarios, contratos, facturas y pagos.</x:v>
      </x:c>
      <x:c r="C12" s="31"/>
      <x:c r="D12" s="31"/>
      <x:c r="E12" s="31"/>
      <x:c r="F12" s="31"/>
    </x:row>
    <x:row r="13">
      <x:c r="A13" s="31" t="str">
        <x:v>n8n</x:v>
      </x:c>
      <x:c r="B13" s="31" t="str">
        <x:v>Orquestación de Outlook, extracción y correo de confirmación.</x:v>
      </x:c>
      <x:c r="C13" s="31"/>
      <x:c r="D13" s="31"/>
      <x:c r="E13" s="31"/>
      <x:c r="F13" s="31"/>
    </x:row>
    <x:row r="14">
      <x:c r="A14" s="31" t="str">
        <x:v>Cuenta bancaria</x:v>
      </x:c>
      <x:c r="B14" s="31" t="str">
        <x:v>Se valida contra ReceivingBankAccount; no está mapeada por arrendatario en el Excel.</x:v>
      </x:c>
      <x:c r="C14" s="31"/>
      <x:c r="D14" s="31"/>
      <x:c r="E14" s="31"/>
      <x:c r="F14" s="31"/>
    </x:row>
    <x:row r="15">
      <x:c r="A15" s="31" t="str">
        <x:v>Confirmación automática</x:v>
      </x:c>
      <x:c r="B15" s="31" t="str">
        <x:v>Solo se envía con coincidencia única de cuenta, valor, factura y pagador.</x:v>
      </x:c>
      <x:c r="C15" s="31"/>
      <x:c r="D15" s="31"/>
      <x:c r="E15" s="31"/>
      <x:c r="F15" s="3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4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42" hidden="0" customWidth="1"/>
    <x:col min="15" max="15" width="42" hidden="0" customWidth="1"/>
    <x:col min="16" max="16" width="1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14" hidden="0" customWidth="1"/>
    <x:col min="22" max="22" width="14" hidden="0" customWidth="1"/>
    <x:col min="23" max="23" width="38" hidden="0" customWidth="1"/>
    <x:col min="24" max="24" width="38" hidden="0" customWidth="1"/>
    <x:col min="25" max="25" width="38" hidden="0" customWidth="1"/>
    <x:col min="26" max="26" width="14" hidden="0" customWidth="1"/>
    <x:col min="27" max="27" width="55" hidden="0" customWidth="1"/>
  </x:cols>
  <x:sheetData>
    <x:row r="1">
      <x:c r="A1" s="40" t="str">
        <x:v>legacyCode</x:v>
      </x:c>
      <x:c r="B1" s="40" t="str">
        <x:v>legacyNumber</x:v>
      </x:c>
      <x:c r="C1" s="40" t="str">
        <x:v>sourceSheet</x:v>
      </x:c>
      <x:c r="D1" s="40" t="str">
        <x:v>sourceRow</x:v>
      </x:c>
      <x:c r="E1" s="40" t="str">
        <x:v>address</x:v>
      </x:c>
      <x:c r="F1" s="40" t="str">
        <x:v>city</x:v>
      </x:c>
      <x:c r="G1" s="40" t="str">
        <x:v>neighborhood</x:v>
      </x:c>
      <x:c r="H1" s="40" t="str">
        <x:v>locality</x:v>
      </x:c>
      <x:c r="I1" s="40" t="str">
        <x:v>ownerName</x:v>
      </x:c>
      <x:c r="J1" s="40" t="str">
        <x:v>tenantName</x:v>
      </x:c>
      <x:c r="K1" s="40" t="str">
        <x:v>tenantDocument</x:v>
      </x:c>
      <x:c r="L1" s="40" t="str">
        <x:v>tenantPhone</x:v>
      </x:c>
      <x:c r="M1" s="40" t="str">
        <x:v>tenantEmail</x:v>
      </x:c>
      <x:c r="N1" s="40" t="str">
        <x:v>tenantRaw</x:v>
      </x:c>
      <x:c r="O1" s="40" t="str">
        <x:v>coTenantsRaw</x:v>
      </x:c>
      <x:c r="P1" s="40" t="str">
        <x:v>leaseStatus</x:v>
      </x:c>
      <x:c r="Q1" s="40" t="str">
        <x:v>expectedPayment</x:v>
      </x:c>
      <x:c r="R1" s="40" t="str">
        <x:v>expectedPaymentSource</x:v>
      </x:c>
      <x:c r="S1" s="40" t="str">
        <x:v>ownerExpectedPayout</x:v>
      </x:c>
      <x:c r="T1" s="40" t="str">
        <x:v>ownerPayoutSource</x:v>
      </x:c>
      <x:c r="U1" s="40" t="str">
        <x:v>leaseStartDate</x:v>
      </x:c>
      <x:c r="V1" s="40" t="str">
        <x:v>leaseEndDate</x:v>
      </x:c>
      <x:c r="W1" s="40" t="str">
        <x:v>contractRaw</x:v>
      </x:c>
      <x:c r="X1" s="40" t="str">
        <x:v>novelty</x:v>
      </x:c>
      <x:c r="Y1" s="40" t="str">
        <x:v>observations</x:v>
      </x:c>
      <x:c r="Z1" s="40" t="str">
        <x:v>needsReview</x:v>
      </x:c>
      <x:c r="AA1" s="40" t="str">
        <x:v>reviewFlags</x:v>
      </x:c>
    </x:row>
    <x:row r="2">
      <x:c r="A2" s="31" t="str">
        <x:v>AR-001</x:v>
      </x:c>
      <x:c r="B2" s="31" t="n">
        <x:v>1</x:v>
      </x:c>
      <x:c r="C2" s="31" t="str">
        <x:v>Hoja1</x:v>
      </x:c>
      <x:c r="D2" s="31" t="n">
        <x:v>2</x:v>
      </x:c>
      <x:c r="E2" s="31" t="str">
        <x:v>Kra 2 #6F-38 APT 101 Barrio Belen localidad candelaria</x:v>
      </x:c>
      <x:c r="F2" s="31" t="str">
        <x:v>Bogotá D.C.</x:v>
      </x:c>
      <x:c r="G2" s="31" t="str">
        <x:v>Belen</x:v>
      </x:c>
      <x:c r="H2" s="31" t="str">
        <x:v>candelaria</x:v>
      </x:c>
      <x:c r="I2" s="31" t="str">
        <x:v>Luz Herminda</x:v>
      </x:c>
      <x:c r="J2" s="31" t="str">
        <x:v>Camilo Andres Oquendo Barrios</x:v>
      </x:c>
      <x:c r="K2" s="31" t="str">
        <x:v>101202093</x:v>
      </x:c>
      <x:c r="L2" s="31" t="str">
        <x:v>101202093</x:v>
      </x:c>
      <x:c r="M2" s="31"/>
      <x:c r="N2" s="31" t="str">
        <x:v>Camilo Andres Oquendo Barrios C.C. 1.012.020.93</x:v>
      </x:c>
      <x:c r="O2" s="31" t="str">
        <x:v>Maria Nelfi Barrios Cabezas C.C. 51.802.454 y Jhoana Andrea Oquendo Barrios C.C. 1.018.423.179</x:v>
      </x:c>
      <x:c r="P2" s="31" t="str">
        <x:v>ACTIVE</x:v>
      </x:c>
      <x:c r="Q2" s="44" t="n">
        <x:v>600000</x:v>
      </x:c>
      <x:c r="R2" s="31" t="str">
        <x:v>Hoja 1 - Valor arrendatario</x:v>
      </x:c>
      <x:c r="S2" s="44" t="n">
        <x:v>500000</x:v>
      </x:c>
      <x:c r="T2" s="31" t="str">
        <x:v>Hoja 2 - PAGO A PROPIETARIOS</x:v>
      </x:c>
      <x:c r="U2" s="46" t="str">
        <x:v>2022-01-01</x:v>
      </x:c>
      <x:c r="V2" s="46"/>
      <x:c r="W2" s="31" t="str">
        <x:v>01/01/2022 $780.000 X12 MESES AGUA, LUZ, GAS X PERSONA / actual 780.000</x:v>
      </x:c>
      <x:c r="X2" s="31" t="str">
        <x:v>Aumento de Canon</x:v>
      </x:c>
      <x:c r="Y2" s="31" t="str">
        <x:v>PENDIENTE PAGO AGOSTO 2024 / 600.000 </x:v>
      </x:c>
      <x:c r="Z2" s="41" t="b">
        <x:v>1</x:v>
      </x:c>
      <x:c r="AA2" s="31" t="str">
        <x:v>Valor esperado 600000 no coincide con canon bruto 780000</x:v>
      </x:c>
    </x:row>
    <x:row r="3">
      <x:c r="A3" s="31" t="str">
        <x:v>AR-002</x:v>
      </x:c>
      <x:c r="B3" s="31" t="n">
        <x:v>2</x:v>
      </x:c>
      <x:c r="C3" s="31" t="str">
        <x:v>Hoja1</x:v>
      </x:c>
      <x:c r="D3" s="31" t="n">
        <x:v>3</x:v>
      </x:c>
      <x:c r="E3" s="31" t="str">
        <x:v>Kra 12 D Bis #24-35 sur tercer piso Barrio San Jose Localidad Uribe Uribe</x:v>
      </x:c>
      <x:c r="F3" s="31" t="str">
        <x:v>Bogotá D.C.</x:v>
      </x:c>
      <x:c r="G3" s="31" t="str">
        <x:v>San Jose</x:v>
      </x:c>
      <x:c r="H3" s="31" t="str">
        <x:v>Uribe Uribe</x:v>
      </x:c>
      <x:c r="I3" s="31" t="str">
        <x:v>Roberto Selis</x:v>
      </x:c>
      <x:c r="J3" s="31" t="str">
        <x:v>Luis Salas (Barbero)</x:v>
      </x:c>
      <x:c r="K3" s="31" t="str">
        <x:v>26389708</x:v>
      </x:c>
      <x:c r="L3" s="31" t="str">
        <x:v>26389708</x:v>
      </x:c>
      <x:c r="M3" s="31"/>
      <x:c r="N3" s="31" t="str">
        <x:v>Luis Salas C.C. 26.389.708 (Barbero)</x:v>
      </x:c>
      <x:c r="O3" s="31" t="str">
        <x:v>Maria Salas Galvis C.C. 26.389.707, Jose Angel Contreras C.C. 25.977.205  y David Perez Marquez </x:v>
      </x:c>
      <x:c r="P3" s="31" t="str">
        <x:v>ACTIVE</x:v>
      </x:c>
      <x:c r="Q3" s="44" t="n">
        <x:v>600000</x:v>
      </x:c>
      <x:c r="R3" s="31" t="str">
        <x:v>Hoja 1 - Valor arrendatario</x:v>
      </x:c>
      <x:c r="S3" s="44" t="n">
        <x:v>675000</x:v>
      </x:c>
      <x:c r="T3" s="31" t="str">
        <x:v>Hoja 2 - PAGO A PROPIETARIOS</x:v>
      </x:c>
      <x:c r="U3" s="46" t="str">
        <x:v>2021-02-01</x:v>
      </x:c>
      <x:c r="V3" s="46"/>
      <x:c r="W3" s="31" t="str">
        <x:v>01/02/2021 $750.000 X 12 MESES</x:v>
      </x:c>
      <x:c r="X3" s="31" t="str">
        <x:v>AC</x:v>
      </x:c>
      <x:c r="Y3" s="31" t="str">
        <x:v>PAGO AGOSTO 2024 / 700.000 </x:v>
      </x:c>
      <x:c r="Z3" s="41" t="b">
        <x:v>1</x:v>
      </x:c>
      <x:c r="AA3" s="31" t="str">
        <x:v>Valores distintos Hoja 1=600000 vs Hoja 2=700000 | Valor esperado 600000 no coincide con canon bruto 750000</x:v>
      </x:c>
    </x:row>
    <x:row r="4">
      <x:c r="A4" s="31" t="str">
        <x:v>AR-003</x:v>
      </x:c>
      <x:c r="B4" s="31" t="n">
        <x:v>3</x:v>
      </x:c>
      <x:c r="C4" s="31" t="str">
        <x:v>Hoja1</x:v>
      </x:c>
      <x:c r="D4" s="31" t="n">
        <x:v>4</x:v>
      </x:c>
      <x:c r="E4" s="31" t="str">
        <x:v>Calle 13 A #19-41 sur Aparta Estudio 203 Barrio Restrepo Localidad Antonio Nariño</x:v>
      </x:c>
      <x:c r="F4" s="31" t="str">
        <x:v>Bogotá D.C.</x:v>
      </x:c>
      <x:c r="G4" s="31" t="str">
        <x:v>Restrepo</x:v>
      </x:c>
      <x:c r="H4" s="31" t="str">
        <x:v>Antonio Nariño</x:v>
      </x:c>
      <x:c r="I4" s="31" t="str">
        <x:v>Jose Vicente Buitrago</x:v>
      </x:c>
      <x:c r="J4" s="31" t="str">
        <x:v>Sandra Milena (señor en discapacidad)</x:v>
      </x:c>
      <x:c r="K4" s="31"/>
      <x:c r="L4" s="31"/>
      <x:c r="M4" s="31"/>
      <x:c r="N4" s="31" t="str">
        <x:v>Sandra Milena (señor en discapacidad)</x:v>
      </x:c>
      <x:c r="O4" s="31" t="str">
        <x:v>Jose David Guerra Castañeda</x:v>
      </x:c>
      <x:c r="P4" s="31" t="str">
        <x:v>ACTIVE</x:v>
      </x:c>
      <x:c r="Q4" s="44" t="n">
        <x:v>500000</x:v>
      </x:c>
      <x:c r="R4" s="31" t="str">
        <x:v>Hoja 1 - Valor arrendatario</x:v>
      </x:c>
      <x:c r="S4" s="44"/>
      <x:c r="T4" s="31"/>
      <x:c r="U4" s="46" t="str">
        <x:v>2023-10-01</x:v>
      </x:c>
      <x:c r="V4" s="46"/>
      <x:c r="W4" s="31" t="str">
        <x:v>01/10/2023 $500.000 X 12 MESES</x:v>
      </x:c>
      <x:c r="X4" s="31" t="str">
        <x:v>NC</x:v>
      </x:c>
      <x:c r="Y4" s="31"/>
      <x:c r="Z4" s="41" t="b">
        <x:v>0</x:v>
      </x:c>
      <x:c r="AA4" s="31" t="str"/>
    </x:row>
    <x:row r="5">
      <x:c r="A5" s="31" t="str">
        <x:v>AR-004</x:v>
      </x:c>
      <x:c r="B5" s="31" t="n">
        <x:v>4</x:v>
      </x:c>
      <x:c r="C5" s="31" t="str">
        <x:v>Hoja1</x:v>
      </x:c>
      <x:c r="D5" s="31" t="n">
        <x:v>5</x:v>
      </x:c>
      <x:c r="E5" s="31" t="str">
        <x:v>Kra 17 #18-45 Sur Apt 101 Barrio Restrepo Localidad Antonio Nariño</x:v>
      </x:c>
      <x:c r="F5" s="31" t="str">
        <x:v>Bogotá D.C.</x:v>
      </x:c>
      <x:c r="G5" s="31" t="str">
        <x:v>Restrepo</x:v>
      </x:c>
      <x:c r="H5" s="31" t="str">
        <x:v>Antonio Nariño</x:v>
      </x:c>
      <x:c r="I5" s="31" t="str">
        <x:v>Serafin Mariño</x:v>
      </x:c>
      <x:c r="J5" s="31" t="str">
        <x:v>Alba Mercedes Ceballon</x:v>
      </x:c>
      <x:c r="K5" s="31" t="str">
        <x:v>41773951</x:v>
      </x:c>
      <x:c r="L5" s="31" t="str">
        <x:v>41773951</x:v>
      </x:c>
      <x:c r="M5" s="31"/>
      <x:c r="N5" s="31" t="str">
        <x:v>Alba Mercedes Ceballon C.C. 41.773.951</x:v>
      </x:c>
      <x:c r="O5" s="31" t="str">
        <x:v>Maria de los Angeles Alfonso Ceballos C.C. 52.743.865 y Deysi Paola Herrera Vargas C.C.1.022.994.830</x:v>
      </x:c>
      <x:c r="P5" s="31" t="str">
        <x:v>ACTIVE</x:v>
      </x:c>
      <x:c r="Q5" s="44" t="n">
        <x:v>682000</x:v>
      </x:c>
      <x:c r="R5" s="31" t="str">
        <x:v>Hoja 1 - Valor arrendatario</x:v>
      </x:c>
      <x:c r="S5" s="44" t="n">
        <x:v>600000</x:v>
      </x:c>
      <x:c r="T5" s="31" t="str">
        <x:v>Hoja 2 - PAGO A PROPIETARIOS</x:v>
      </x:c>
      <x:c r="U5" s="46" t="str">
        <x:v>2021-08-01</x:v>
      </x:c>
      <x:c r="V5" s="46"/>
      <x:c r="W5" s="31" t="str">
        <x:v>01/08/2021 $ 682.000</x:v>
      </x:c>
      <x:c r="X5" s="31" t="str">
        <x:v>AC</x:v>
      </x:c>
      <x:c r="Y5" s="31" t="str">
        <x:v>PAGO AGOSTO 2024 / 682.000</x:v>
      </x:c>
      <x:c r="Z5" s="41" t="b">
        <x:v>0</x:v>
      </x:c>
      <x:c r="AA5" s="31" t="str"/>
    </x:row>
    <x:row r="6">
      <x:c r="A6" s="31" t="str">
        <x:v>AR-005</x:v>
      </x:c>
      <x:c r="B6" s="31" t="n">
        <x:v>5</x:v>
      </x:c>
      <x:c r="C6" s="31" t="str">
        <x:v>Hoja1</x:v>
      </x:c>
      <x:c r="D6" s="31" t="n">
        <x:v>6</x:v>
      </x:c>
      <x:c r="E6" s="31" t="str">
        <x:v>AC 22 sur #12B-44 Apto 601 Barrio Ciudad Jardin Localidad Antonio Nariño</x:v>
      </x:c>
      <x:c r="F6" s="31" t="str">
        <x:v>Bogotá D.C.</x:v>
      </x:c>
      <x:c r="G6" s="31" t="str">
        <x:v>Ciudad Jardin</x:v>
      </x:c>
      <x:c r="H6" s="31" t="str">
        <x:v>Antonio Nariño</x:v>
      </x:c>
      <x:c r="I6" s="31" t="str">
        <x:v>Jose Vicente Buitrago</x:v>
      </x:c>
      <x:c r="J6" s="31" t="str">
        <x:v>Angel Antonio Sierra Diaz</x:v>
      </x:c>
      <x:c r="K6" s="31"/>
      <x:c r="L6" s="31"/>
      <x:c r="M6" s="31"/>
      <x:c r="N6" s="31" t="str">
        <x:v>Angel Antonio Sierra Diaz</x:v>
      </x:c>
      <x:c r="O6" s="31" t="str">
        <x:v>sin fiador</x:v>
      </x:c>
      <x:c r="P6" s="31" t="str">
        <x:v>LEGAL_REVIEW</x:v>
      </x:c>
      <x:c r="Q6" s="44" t="n">
        <x:v>1170000</x:v>
      </x:c>
      <x:c r="R6" s="31" t="str">
        <x:v>Hoja 1 - Valor arrendatario</x:v>
      </x:c>
      <x:c r="S6" s="44"/>
      <x:c r="T6" s="31"/>
      <x:c r="U6" s="46" t="str">
        <x:v>2024-03-01</x:v>
      </x:c>
      <x:c r="V6" s="46"/>
      <x:c r="W6" s="31" t="str">
        <x:v>01/03/2024 $</x:v>
      </x:c>
      <x:c r="X6" s="31"/>
      <x:c r="Y6" s="31" t="str">
        <x:v>Nuevo (Brayan Stiven para Juridica)</x:v>
      </x:c>
      <x:c r="Z6" s="41" t="b">
        <x:v>1</x:v>
      </x:c>
      <x:c r="AA6" s="31" t="str">
        <x:v>Estado inferido: LEGAL_REVIEW</x:v>
      </x:c>
    </x:row>
    <x:row r="7">
      <x:c r="A7" s="31" t="str">
        <x:v>AR-006</x:v>
      </x:c>
      <x:c r="B7" s="31" t="n">
        <x:v>6</x:v>
      </x:c>
      <x:c r="C7" s="31" t="str">
        <x:v>Hoja1</x:v>
      </x:c>
      <x:c r="D7" s="31" t="n">
        <x:v>7</x:v>
      </x:c>
      <x:c r="E7" s="31" t="str">
        <x:v>AC 22 sur #12B-44 Apto 203 Barrio Ciudad Jardin Localidad Antonio Nariño</x:v>
      </x:c>
      <x:c r="F7" s="31" t="str">
        <x:v>Bogotá D.C.</x:v>
      </x:c>
      <x:c r="G7" s="31" t="str">
        <x:v>Ciudad Jardin</x:v>
      </x:c>
      <x:c r="H7" s="31" t="str">
        <x:v>Antonio Nariño</x:v>
      </x:c>
      <x:c r="I7" s="31" t="str">
        <x:v>Jose Vicente Buitrago</x:v>
      </x:c>
      <x:c r="J7" s="31" t="str">
        <x:v>Luis de la Rosa</x:v>
      </x:c>
      <x:c r="K7" s="31"/>
      <x:c r="L7" s="31"/>
      <x:c r="M7" s="31"/>
      <x:c r="N7" s="31" t="str">
        <x:v>Luis de la Rosa</x:v>
      </x:c>
      <x:c r="O7" s="31" t="str">
        <x:v>sin fiador</x:v>
      </x:c>
      <x:c r="P7" s="31" t="str">
        <x:v>ACTIVE</x:v>
      </x:c>
      <x:c r="Q7" s="44" t="n">
        <x:v>450000</x:v>
      </x:c>
      <x:c r="R7" s="31" t="str">
        <x:v>Hoja 1 - Valor arrendatario</x:v>
      </x:c>
      <x:c r="S7" s="44"/>
      <x:c r="T7" s="31"/>
      <x:c r="U7" s="46" t="str">
        <x:v>2021-03-15</x:v>
      </x:c>
      <x:c r="V7" s="46"/>
      <x:c r="W7" s="31" t="str">
        <x:v>15/03/2021 $450.000</x:v>
      </x:c>
      <x:c r="X7" s="31" t="str">
        <x:v>Sin Aumento</x:v>
      </x:c>
      <x:c r="Y7" s="31"/>
      <x:c r="Z7" s="41" t="b">
        <x:v>0</x:v>
      </x:c>
      <x:c r="AA7" s="31" t="str"/>
    </x:row>
    <x:row r="8">
      <x:c r="A8" s="31" t="str">
        <x:v>AR-007</x:v>
      </x:c>
      <x:c r="B8" s="31" t="n">
        <x:v>7</x:v>
      </x:c>
      <x:c r="C8" s="31" t="str">
        <x:v>Hoja1</x:v>
      </x:c>
      <x:c r="D8" s="31" t="n">
        <x:v>8</x:v>
      </x:c>
      <x:c r="E8" s="31" t="str">
        <x:v>Calle 26 B sur #12-24 Apto 301  Local Cra 12 Bis #26A-39 Localidad Uribe</x:v>
      </x:c>
      <x:c r="F8" s="31" t="str">
        <x:v>Bogotá D.C.</x:v>
      </x:c>
      <x:c r="G8" s="31" t="str"/>
      <x:c r="H8" s="31" t="str">
        <x:v>Uribe</x:v>
      </x:c>
      <x:c r="I8" s="31" t="str">
        <x:v>Estella Velez</x:v>
      </x:c>
      <x:c r="J8" s="31" t="str">
        <x:v>Misael Daza Vaca</x:v>
      </x:c>
      <x:c r="K8" s="31"/>
      <x:c r="L8" s="31"/>
      <x:c r="M8" s="31"/>
      <x:c r="N8" s="31" t="str">
        <x:v>Misael Daza Vaca</x:v>
      </x:c>
      <x:c r="O8" s="31" t="str">
        <x:v>Jose Adonias Guastunal Rojas y Jose Efren Zubieta Diaz</x:v>
      </x:c>
      <x:c r="P8" s="31" t="str">
        <x:v>ACTIVE</x:v>
      </x:c>
      <x:c r="Q8" s="44" t="n">
        <x:v>1780000</x:v>
      </x:c>
      <x:c r="R8" s="31" t="str">
        <x:v>Hoja 1 - Valor arrendatario</x:v>
      </x:c>
      <x:c r="S8" s="44" t="n">
        <x:v>1605000</x:v>
      </x:c>
      <x:c r="T8" s="31" t="str">
        <x:v>Hoja 2 - PAGO A PROPIETARIOS</x:v>
      </x:c>
      <x:c r="U8" s="46" t="str">
        <x:v>2018-05-01</x:v>
      </x:c>
      <x:c r="V8" s="46"/>
      <x:c r="W8" s="31" t="str">
        <x:v>1/5/2018 $ 1.780.000</x:v>
      </x:c>
      <x:c r="X8" s="31" t="str">
        <x:v>AC</x:v>
      </x:c>
      <x:c r="Y8" s="31" t="str">
        <x:v>PAGO PENDIENTE / revisar contratos y asignar numero</x:v>
      </x:c>
      <x:c r="Z8" s="41" t="b">
        <x:v>0</x:v>
      </x:c>
      <x:c r="AA8" s="31" t="str"/>
    </x:row>
    <x:row r="9">
      <x:c r="A9" s="31" t="str">
        <x:v>AR-008</x:v>
      </x:c>
      <x:c r="B9" s="31" t="n">
        <x:v>8</x:v>
      </x:c>
      <x:c r="C9" s="31" t="str">
        <x:v>Hoja1</x:v>
      </x:c>
      <x:c r="D9" s="31" t="n">
        <x:v>9</x:v>
      </x:c>
      <x:c r="E9" s="31" t="str">
        <x:v>Calle 19 sur #12C-33 Apto 201 Barrio Ciudad Jardin Localidad Antonio Nariño</x:v>
      </x:c>
      <x:c r="F9" s="31" t="str">
        <x:v>Bogotá D.C.</x:v>
      </x:c>
      <x:c r="G9" s="31" t="str">
        <x:v>Ciudad Jardin</x:v>
      </x:c>
      <x:c r="H9" s="31" t="str">
        <x:v>Antonio Nariño</x:v>
      </x:c>
      <x:c r="I9" s="31" t="str">
        <x:v>Manuel Rojas</x:v>
      </x:c>
      <x:c r="J9" s="31" t="str">
        <x:v>Carlos Arrieta</x:v>
      </x:c>
      <x:c r="K9" s="31"/>
      <x:c r="L9" s="31"/>
      <x:c r="M9" s="31"/>
      <x:c r="N9" s="31" t="str">
        <x:v>CARLOS ARRIETA</x:v>
      </x:c>
      <x:c r="O9" s="31" t="str">
        <x:v>Juan Carlos Arrieta Prieto</x:v>
      </x:c>
      <x:c r="P9" s="31" t="str">
        <x:v>ACTIVE</x:v>
      </x:c>
      <x:c r="Q9" s="44" t="n">
        <x:v>800000</x:v>
      </x:c>
      <x:c r="R9" s="31" t="str">
        <x:v>Hoja 1 - Valor arrendatario</x:v>
      </x:c>
      <x:c r="S9" s="44" t="n">
        <x:v>630000</x:v>
      </x:c>
      <x:c r="T9" s="31" t="str">
        <x:v>Hoja 2 - PAGO A PROPIETARIOS</x:v>
      </x:c>
      <x:c r="U9" s="46" t="str">
        <x:v>2023-04-01</x:v>
      </x:c>
      <x:c r="V9" s="46"/>
      <x:c r="W9" s="31" t="str">
        <x:v>01/04/2023 $800.000</x:v>
      </x:c>
      <x:c r="X9" s="31" t="str">
        <x:v>NC (A Partir del 01/02/2024)</x:v>
      </x:c>
      <x:c r="Y9" s="31" t="str">
        <x:v>Nuevo (Hay clausula por incumplimiento de parte de Yeimy Orfid Perez) PAGO AGOSTO 2024</x:v>
      </x:c>
      <x:c r="Z9" s="41" t="b">
        <x:v>0</x:v>
      </x:c>
      <x:c r="AA9" s="31" t="str"/>
    </x:row>
    <x:row r="10">
      <x:c r="A10" s="31" t="str">
        <x:v>AR-009</x:v>
      </x:c>
      <x:c r="B10" s="31" t="n">
        <x:v>9</x:v>
      </x:c>
      <x:c r="C10" s="31" t="str">
        <x:v>Hoja1</x:v>
      </x:c>
      <x:c r="D10" s="31" t="n">
        <x:v>10</x:v>
      </x:c>
      <x:c r="E10" s="31" t="str">
        <x:v>AC 22 sur #12B-44 Apto 102 Barrio Ciudad Jardin Localidad Antonio Nariño</x:v>
      </x:c>
      <x:c r="F10" s="31" t="str">
        <x:v>Bogotá D.C.</x:v>
      </x:c>
      <x:c r="G10" s="31" t="str">
        <x:v>Ciudad Jardin</x:v>
      </x:c>
      <x:c r="H10" s="31" t="str">
        <x:v>Antonio Nariño</x:v>
      </x:c>
      <x:c r="I10" s="31" t="str">
        <x:v>Jose Vicente Buitrago</x:v>
      </x:c>
      <x:c r="J10" s="31" t="str">
        <x:v>Neribeth Marian Quintana Pereda</x:v>
      </x:c>
      <x:c r="K10" s="31"/>
      <x:c r="L10" s="31" t="str">
        <x:v>3009802809</x:v>
      </x:c>
      <x:c r="M10" s="31"/>
      <x:c r="N10" s="31" t="str">
        <x:v>Neribeth Marian Quintana Pereda cel. 3009802809</x:v>
      </x:c>
      <x:c r="O10" s="31" t="str">
        <x:v>sin fiador</x:v>
      </x:c>
      <x:c r="P10" s="31" t="str">
        <x:v>ACTIVE</x:v>
      </x:c>
      <x:c r="Q10" s="44" t="n">
        <x:v>500000</x:v>
      </x:c>
      <x:c r="R10" s="31" t="str">
        <x:v>Hoja 1 - Valor arrendatario</x:v>
      </x:c>
      <x:c r="S10" s="44"/>
      <x:c r="T10" s="31"/>
      <x:c r="U10" s="46" t="str">
        <x:v>2023-09-22</x:v>
      </x:c>
      <x:c r="V10" s="46"/>
      <x:c r="W10" s="31" t="str">
        <x:v>22/09/2023 $500.000</x:v>
      </x:c>
      <x:c r="X10" s="31" t="str">
        <x:v>NC</x:v>
      </x:c>
      <x:c r="Y10" s="31"/>
      <x:c r="Z10" s="41" t="b">
        <x:v>0</x:v>
      </x:c>
      <x:c r="AA10" s="31" t="str"/>
    </x:row>
    <x:row r="11">
      <x:c r="A11" s="31" t="str">
        <x:v>AR-010</x:v>
      </x:c>
      <x:c r="B11" s="31" t="n">
        <x:v>10</x:v>
      </x:c>
      <x:c r="C11" s="31" t="str">
        <x:v>Hoja1</x:v>
      </x:c>
      <x:c r="D11" s="31" t="n">
        <x:v>11</x:v>
      </x:c>
      <x:c r="E11" s="31" t="str">
        <x:v>Calle 54 A sur # 81D-33 Vegas de sta ana Class Roma Localidad Kennedy</x:v>
      </x:c>
      <x:c r="F11" s="31" t="str">
        <x:v>Bogotá D.C.</x:v>
      </x:c>
      <x:c r="G11" s="31" t="str"/>
      <x:c r="H11" s="31" t="str">
        <x:v>Kennedy</x:v>
      </x:c>
      <x:c r="I11" s="31" t="str">
        <x:v>Jose Vicente Buitrago</x:v>
      </x:c>
      <x:c r="J11" s="31" t="str">
        <x:v>Edison Fabian Reyes Alarcon</x:v>
      </x:c>
      <x:c r="K11" s="31"/>
      <x:c r="L11" s="31"/>
      <x:c r="M11" s="31"/>
      <x:c r="N11" s="31" t="str">
        <x:v>Edison Fabian Reyes Alarcon</x:v>
      </x:c>
      <x:c r="O11" s="31" t="str">
        <x:v>Ingrid Yasmin Alfonso y Marlon Enreque</x:v>
      </x:c>
      <x:c r="P11" s="31" t="str">
        <x:v>LEGAL_REVIEW</x:v>
      </x:c>
      <x:c r="Q11" s="44" t="n">
        <x:v>1000000</x:v>
      </x:c>
      <x:c r="R11" s="31" t="str">
        <x:v>Hoja 1 - Valor arrendatario</x:v>
      </x:c>
      <x:c r="S11" s="44"/>
      <x:c r="T11" s="31"/>
      <x:c r="U11" s="46" t="str">
        <x:v>2024-05-01</x:v>
      </x:c>
      <x:c r="V11" s="46"/>
      <x:c r="W11" s="31" t="str">
        <x:v>01/05/2024 $1.000.000</x:v>
      </x:c>
      <x:c r="X11" s="31" t="str">
        <x:v>AC</x:v>
      </x:c>
      <x:c r="Y11" s="31" t="str">
        <x:v>Nuevo (antiguo para juridica)</x:v>
      </x:c>
      <x:c r="Z11" s="41" t="b">
        <x:v>1</x:v>
      </x:c>
      <x:c r="AA11" s="31" t="str">
        <x:v>Estado inferido: LEGAL_REVIEW</x:v>
      </x:c>
    </x:row>
    <x:row r="12">
      <x:c r="A12" s="31" t="str">
        <x:v>AR-011</x:v>
      </x:c>
      <x:c r="B12" s="31" t="n">
        <x:v>11</x:v>
      </x:c>
      <x:c r="C12" s="31" t="str">
        <x:v>Hoja1</x:v>
      </x:c>
      <x:c r="D12" s="31" t="n">
        <x:v>12</x:v>
      </x:c>
      <x:c r="E12" s="31" t="str">
        <x:v>AC 22 sur #12B-44 Apto 202 Barrio Ciudad Jardin Localidad Antonio Nariño</x:v>
      </x:c>
      <x:c r="F12" s="31" t="str">
        <x:v>Bogotá D.C.</x:v>
      </x:c>
      <x:c r="G12" s="31" t="str">
        <x:v>Ciudad Jardin</x:v>
      </x:c>
      <x:c r="H12" s="31" t="str">
        <x:v>Antonio Nariño</x:v>
      </x:c>
      <x:c r="I12" s="31" t="str">
        <x:v>Jose Vicente Buitrago</x:v>
      </x:c>
      <x:c r="J12" s="31" t="str">
        <x:v>Victor Alfonso Gutierrez Mejia</x:v>
      </x:c>
      <x:c r="K12" s="31"/>
      <x:c r="L12" s="31"/>
      <x:c r="M12" s="31"/>
      <x:c r="N12" s="31" t="str">
        <x:v>Victor Alfonso Gutierrez Mejia</x:v>
      </x:c>
      <x:c r="O12" s="31" t="str">
        <x:v>sin fiador</x:v>
      </x:c>
      <x:c r="P12" s="31" t="str">
        <x:v>LEGAL_REVIEW</x:v>
      </x:c>
      <x:c r="Q12" s="44" t="n">
        <x:v>500000</x:v>
      </x:c>
      <x:c r="R12" s="31" t="str">
        <x:v>Hoja 1 - Valor arrendatario</x:v>
      </x:c>
      <x:c r="S12" s="44"/>
      <x:c r="T12" s="31"/>
      <x:c r="U12" s="46" t="str">
        <x:v>2024-07-12</x:v>
      </x:c>
      <x:c r="V12" s="46"/>
      <x:c r="W12" s="31" t="str">
        <x:v>12/07/2024 $500.000</x:v>
      </x:c>
      <x:c r="X12" s="31" t="str">
        <x:v>NC</x:v>
      </x:c>
      <x:c r="Y12" s="31" t="str">
        <x:v>Nuevo (antiguo para juridica)</x:v>
      </x:c>
      <x:c r="Z12" s="41" t="b">
        <x:v>1</x:v>
      </x:c>
      <x:c r="AA12" s="31" t="str">
        <x:v>Estado inferido: LEGAL_REVIEW</x:v>
      </x:c>
    </x:row>
    <x:row r="13">
      <x:c r="A13" s="31" t="str">
        <x:v>AR-012</x:v>
      </x:c>
      <x:c r="B13" s="31" t="n">
        <x:v>12</x:v>
      </x:c>
      <x:c r="C13" s="31" t="str">
        <x:v>Hoja1</x:v>
      </x:c>
      <x:c r="D13" s="31" t="n">
        <x:v>13</x:v>
      </x:c>
      <x:c r="E13" s="31" t="str">
        <x:v>AC 22 sur #12B-44 Apto 504 Barrio Ciudad Jardin Localidad Antonio Nariño</x:v>
      </x:c>
      <x:c r="F13" s="31" t="str">
        <x:v>Bogotá D.C.</x:v>
      </x:c>
      <x:c r="G13" s="31" t="str">
        <x:v>Ciudad Jardin</x:v>
      </x:c>
      <x:c r="H13" s="31" t="str">
        <x:v>Antonio Nariño</x:v>
      </x:c>
      <x:c r="I13" s="31" t="str">
        <x:v>Jose Vicente Buitrago</x:v>
      </x:c>
      <x:c r="J13" s="31" t="str">
        <x:v>Kelly Andreina Moreira</x:v>
      </x:c>
      <x:c r="K13" s="31"/>
      <x:c r="L13" s="31"/>
      <x:c r="M13" s="31"/>
      <x:c r="N13" s="31" t="str">
        <x:v>Kelly Andreina Moreira</x:v>
      </x:c>
      <x:c r="O13" s="31" t="str">
        <x:v>sin fiador</x:v>
      </x:c>
      <x:c r="P13" s="31" t="str">
        <x:v>ACTIVE</x:v>
      </x:c>
      <x:c r="Q13" s="44" t="n">
        <x:v>450000</x:v>
      </x:c>
      <x:c r="R13" s="31" t="str">
        <x:v>Hoja 1 - Valor arrendatario</x:v>
      </x:c>
      <x:c r="S13" s="44"/>
      <x:c r="T13" s="31"/>
      <x:c r="U13" s="46" t="str">
        <x:v>2024-06-25</x:v>
      </x:c>
      <x:c r="V13" s="46"/>
      <x:c r="W13" s="31" t="str">
        <x:v>25/06/2024 $450.000</x:v>
      </x:c>
      <x:c r="X13" s="31" t="str">
        <x:v>AC</x:v>
      </x:c>
      <x:c r="Y13" s="31"/>
      <x:c r="Z13" s="41" t="b">
        <x:v>0</x:v>
      </x:c>
      <x:c r="AA13" s="31" t="str"/>
    </x:row>
    <x:row r="14">
      <x:c r="A14" s="31" t="str">
        <x:v>AR-013</x:v>
      </x:c>
      <x:c r="B14" s="31" t="n">
        <x:v>13</x:v>
      </x:c>
      <x:c r="C14" s="31" t="str">
        <x:v>Hoja1</x:v>
      </x:c>
      <x:c r="D14" s="31" t="n">
        <x:v>14</x:v>
      </x:c>
      <x:c r="E14" s="31" t="str">
        <x:v>AC 22 sur #12B-44 Apto305 Apto 401 Barrio Ciudad Jardin Localidad Antonio Nariño</x:v>
      </x:c>
      <x:c r="F14" s="31" t="str">
        <x:v>Bogotá D.C.</x:v>
      </x:c>
      <x:c r="G14" s="31" t="str">
        <x:v>Ciudad Jardin</x:v>
      </x:c>
      <x:c r="H14" s="31" t="str">
        <x:v>Antonio Nariño</x:v>
      </x:c>
      <x:c r="I14" s="31" t="str">
        <x:v>Jose Vicente Buitrago</x:v>
      </x:c>
      <x:c r="J14" s="31" t="str">
        <x:v>Fredy Sanchez</x:v>
      </x:c>
      <x:c r="K14" s="31"/>
      <x:c r="L14" s="31"/>
      <x:c r="M14" s="31"/>
      <x:c r="N14" s="31" t="str">
        <x:v>Fredy Sanchez</x:v>
      </x:c>
      <x:c r="O14" s="31" t="str">
        <x:v>Jesus Alexander, Jose Caceres</x:v>
      </x:c>
      <x:c r="P14" s="31" t="str">
        <x:v>ACTIVE</x:v>
      </x:c>
      <x:c r="Q14" s="44" t="n">
        <x:v>500000</x:v>
      </x:c>
      <x:c r="R14" s="31" t="str">
        <x:v>Hoja 1 - Valor arrendatario</x:v>
      </x:c>
      <x:c r="S14" s="44"/>
      <x:c r="T14" s="31"/>
      <x:c r="U14" s="46" t="str">
        <x:v>2024-04-01</x:v>
      </x:c>
      <x:c r="V14" s="46"/>
      <x:c r="W14" s="31" t="str">
        <x:v>01/04/2024 $500.000</x:v>
      </x:c>
      <x:c r="X14" s="31" t="str">
        <x:v>NC</x:v>
      </x:c>
      <x:c r="Y14" s="31"/>
      <x:c r="Z14" s="41" t="b">
        <x:v>0</x:v>
      </x:c>
      <x:c r="AA14" s="31" t="str"/>
    </x:row>
    <x:row r="15">
      <x:c r="A15" s="31" t="str">
        <x:v>AR-014</x:v>
      </x:c>
      <x:c r="B15" s="31" t="n">
        <x:v>14</x:v>
      </x:c>
      <x:c r="C15" s="31" t="str">
        <x:v>Hoja1</x:v>
      </x:c>
      <x:c r="D15" s="31" t="n">
        <x:v>15</x:v>
      </x:c>
      <x:c r="E15" s="31" t="str">
        <x:v>AC 22 sur #12B-44 Apto 403 Barrio Ciudad Jardin Localidad Antonio Nariño</x:v>
      </x:c>
      <x:c r="F15" s="31" t="str">
        <x:v>Bogotá D.C.</x:v>
      </x:c>
      <x:c r="G15" s="31" t="str">
        <x:v>Ciudad Jardin</x:v>
      </x:c>
      <x:c r="H15" s="31" t="str">
        <x:v>Antonio Nariño</x:v>
      </x:c>
      <x:c r="I15" s="31" t="str">
        <x:v>Jose Vicente Buitrago</x:v>
      </x:c>
      <x:c r="J15" s="31" t="str">
        <x:v>Andy Jesus Ahumada Hernandez</x:v>
      </x:c>
      <x:c r="K15" s="31"/>
      <x:c r="L15" s="31"/>
      <x:c r="M15" s="31"/>
      <x:c r="N15" s="31" t="str">
        <x:v>Andy Jesus Ahumada Hernandez</x:v>
      </x:c>
      <x:c r="O15" s="31" t="str">
        <x:v>dejo amigo conocido de Jerson Pillos</x:v>
      </x:c>
      <x:c r="P15" s="31" t="str">
        <x:v>ACTIVE</x:v>
      </x:c>
      <x:c r="Q15" s="44" t="n">
        <x:v>300000</x:v>
      </x:c>
      <x:c r="R15" s="31" t="str">
        <x:v>Hoja 1 - Valor arrendatario</x:v>
      </x:c>
      <x:c r="S15" s="44"/>
      <x:c r="T15" s="31"/>
      <x:c r="U15" s="46"/>
      <x:c r="V15" s="46"/>
      <x:c r="W15" s="31" t="str">
        <x:v>01/04/         $300.000</x:v>
      </x:c>
      <x:c r="X15" s="31" t="str">
        <x:v>NC</x:v>
      </x:c>
      <x:c r="Y15" s="31" t="str">
        <x:v>Falta Firma de Contrato</x:v>
      </x:c>
      <x:c r="Z15" s="41" t="b">
        <x:v>0</x:v>
      </x:c>
      <x:c r="AA15" s="31" t="str"/>
    </x:row>
    <x:row r="16">
      <x:c r="A16" s="31" t="str">
        <x:v>AR-015</x:v>
      </x:c>
      <x:c r="B16" s="31" t="n">
        <x:v>15</x:v>
      </x:c>
      <x:c r="C16" s="31" t="str">
        <x:v>Hoja1</x:v>
      </x:c>
      <x:c r="D16" s="31" t="n">
        <x:v>16</x:v>
      </x:c>
      <x:c r="E16" s="31" t="str">
        <x:v>Carrera 12 D Bis #24-63 sur Apto 403 Jose Obrero</x:v>
      </x:c>
      <x:c r="F16" s="31" t="str">
        <x:v>Bogotá D.C.</x:v>
      </x:c>
      <x:c r="G16" s="31" t="str"/>
      <x:c r="H16" s="31" t="str"/>
      <x:c r="I16" s="31" t="str">
        <x:v>Luis Roberto</x:v>
      </x:c>
      <x:c r="J16" s="31" t="str">
        <x:v>Veronica Andrea Quintero Ramirez</x:v>
      </x:c>
      <x:c r="K16" s="31"/>
      <x:c r="L16" s="31"/>
      <x:c r="M16" s="31"/>
      <x:c r="N16" s="31" t="str">
        <x:v>Veronica Andrea Quintero Ramirez ENTREGO </x:v>
      </x:c>
      <x:c r="O16" s="31" t="str">
        <x:v>Pedro Luis Quintero Martinez y Piedad Angelica Urieles Arevalo</x:v>
      </x:c>
      <x:c r="P16" s="31" t="str">
        <x:v>ENDED</x:v>
      </x:c>
      <x:c r="Q16" s="44" t="n">
        <x:v>1100000</x:v>
      </x:c>
      <x:c r="R16" s="31" t="str">
        <x:v>Hoja 1 - Valor arrendatario</x:v>
      </x:c>
      <x:c r="S16" s="44" t="n">
        <x:v>1000000</x:v>
      </x:c>
      <x:c r="T16" s="31" t="str">
        <x:v>Hoja 2 - PAGO A PROPIETARIOS</x:v>
      </x:c>
      <x:c r="U16" s="46" t="str">
        <x:v>2023-08-01</x:v>
      </x:c>
      <x:c r="V16" s="46"/>
      <x:c r="W16" s="31" t="str">
        <x:v>01/08/2023 $1.100.000</x:v>
      </x:c>
      <x:c r="X16" s="31" t="str">
        <x:v>AC</x:v>
      </x:c>
      <x:c r="Y16" s="31" t="str">
        <x:v>PAGO AGOSTO 2024 / 1.100.000</x:v>
      </x:c>
      <x:c r="Z16" s="41" t="b">
        <x:v>1</x:v>
      </x:c>
      <x:c r="AA16" s="31" t="str">
        <x:v>Estado inferido: ENDED</x:v>
      </x:c>
    </x:row>
    <x:row r="17">
      <x:c r="A17" s="31" t="str">
        <x:v>AR-016</x:v>
      </x:c>
      <x:c r="B17" s="31" t="n">
        <x:v>16</x:v>
      </x:c>
      <x:c r="C17" s="31" t="str">
        <x:v>Hoja1</x:v>
      </x:c>
      <x:c r="D17" s="31" t="n">
        <x:v>17</x:v>
      </x:c>
      <x:c r="E17" s="31" t="str">
        <x:v>Cra 40 #30-42 sur Apto 102</x:v>
      </x:c>
      <x:c r="F17" s="31" t="str">
        <x:v>Bogotá D.C.</x:v>
      </x:c>
      <x:c r="G17" s="31" t="str"/>
      <x:c r="H17" s="31" t="str"/>
      <x:c r="I17" s="31" t="str">
        <x:v>Rosa Fonseca</x:v>
      </x:c>
      <x:c r="J17" s="31" t="str">
        <x:v>Victor Alfonso Figueroa Nossa (Chispitas)</x:v>
      </x:c>
      <x:c r="K17" s="31"/>
      <x:c r="L17" s="31"/>
      <x:c r="M17" s="31"/>
      <x:c r="N17" s="31" t="str">
        <x:v>Victor Alfonso Figueroa Nossa (Chispitas)</x:v>
      </x:c>
      <x:c r="O17" s="31"/>
      <x:c r="P17" s="31" t="str">
        <x:v>LEGAL_REVIEW</x:v>
      </x:c>
      <x:c r="Q17" s="44" t="n">
        <x:v>900000</x:v>
      </x:c>
      <x:c r="R17" s="31" t="str">
        <x:v>Hoja 1 - Valor arrendatario</x:v>
      </x:c>
      <x:c r="S17" s="44" t="n">
        <x:v>810000</x:v>
      </x:c>
      <x:c r="T17" s="31" t="str">
        <x:v>Hoja 2 - PAGO A PROPIETARIOS</x:v>
      </x:c>
      <x:c r="U17" s="46" t="str">
        <x:v>2023-12-01</x:v>
      </x:c>
      <x:c r="V17" s="46"/>
      <x:c r="W17" s="31" t="str">
        <x:v>01/12/2023 $900.000 / 950. 000 (2025)</x:v>
      </x:c>
      <x:c r="X17" s="31" t="str">
        <x:v>NC</x:v>
      </x:c>
      <x:c r="Y17" s="31" t="str">
        <x:v>(antiguo para juridica) PAGO AGOSTO 2024 / 950.000</x:v>
      </x:c>
      <x:c r="Z17" s="41" t="b">
        <x:v>1</x:v>
      </x:c>
      <x:c r="AA17" s="31" t="str">
        <x:v>Estado inferido: LEGAL_REVIEW</x:v>
      </x:c>
    </x:row>
    <x:row r="18">
      <x:c r="A18" s="31" t="str">
        <x:v>AR-017</x:v>
      </x:c>
      <x:c r="B18" s="31" t="n">
        <x:v>17</x:v>
      </x:c>
      <x:c r="C18" s="31" t="str">
        <x:v>Hoja1</x:v>
      </x:c>
      <x:c r="D18" s="31" t="n">
        <x:v>18</x:v>
      </x:c>
      <x:c r="E18" s="31" t="str">
        <x:v>Cra 40 #30-42 sur Apto 201</x:v>
      </x:c>
      <x:c r="F18" s="31" t="str">
        <x:v>Bogotá D.C.</x:v>
      </x:c>
      <x:c r="G18" s="31" t="str"/>
      <x:c r="H18" s="31" t="str"/>
      <x:c r="I18" s="31" t="str">
        <x:v>Rosa Fonseca</x:v>
      </x:c>
      <x:c r="J18" s="31" t="str">
        <x:v>Jose Aldemar Beltran Tellez</x:v>
      </x:c>
      <x:c r="K18" s="31"/>
      <x:c r="L18" s="31"/>
      <x:c r="M18" s="31"/>
      <x:c r="N18" s="31" t="str">
        <x:v>Jose Aldemar Beltran Tellez</x:v>
      </x:c>
      <x:c r="O18" s="31" t="str">
        <x:v>Claudia Liliana Veles Blanco</x:v>
      </x:c>
      <x:c r="P18" s="31" t="str">
        <x:v>ACTIVE</x:v>
      </x:c>
      <x:c r="Q18" s="44" t="n">
        <x:v>820000</x:v>
      </x:c>
      <x:c r="R18" s="31" t="str">
        <x:v>Hoja 1 - Valor arrendatario</x:v>
      </x:c>
      <x:c r="S18" s="44" t="n">
        <x:v>740000</x:v>
      </x:c>
      <x:c r="T18" s="31" t="str">
        <x:v>Hoja 2 - PAGO A PROPIETARIOS</x:v>
      </x:c>
      <x:c r="U18" s="46" t="str">
        <x:v>2019-02-01</x:v>
      </x:c>
      <x:c r="V18" s="46"/>
      <x:c r="W18" s="31" t="str">
        <x:v>01/02/2019 $820.000 / 1.000.000 ( 2025)</x:v>
      </x:c>
      <x:c r="X18" s="31" t="str">
        <x:v>AC</x:v>
      </x:c>
      <x:c r="Y18" s="31" t="str">
        <x:v>PENDIENTE PAGO SIN SOPORTE</x:v>
      </x:c>
      <x:c r="Z18" s="41" t="b">
        <x:v>0</x:v>
      </x:c>
      <x:c r="AA18" s="31" t="str"/>
    </x:row>
    <x:row r="19">
      <x:c r="A19" s="31" t="str">
        <x:v>AR-018</x:v>
      </x:c>
      <x:c r="B19" s="31" t="n">
        <x:v>18</x:v>
      </x:c>
      <x:c r="C19" s="31" t="str">
        <x:v>Hoja1</x:v>
      </x:c>
      <x:c r="D19" s="31" t="n">
        <x:v>19</x:v>
      </x:c>
      <x:c r="E19" s="31" t="str">
        <x:v>Cra 27 #5B-27 sur Apto 201 Santa Isabel</x:v>
      </x:c>
      <x:c r="F19" s="31" t="str">
        <x:v>Bogotá D.C.</x:v>
      </x:c>
      <x:c r="G19" s="31" t="str"/>
      <x:c r="H19" s="31" t="str"/>
      <x:c r="I19" s="31" t="str">
        <x:v>Luz Herminda</x:v>
      </x:c>
      <x:c r="J19" s="31" t="str">
        <x:v>Karen Contreras Garcia</x:v>
      </x:c>
      <x:c r="K19" s="31"/>
      <x:c r="L19" s="31"/>
      <x:c r="M19" s="31"/>
      <x:c r="N19" s="31" t="str">
        <x:v>Juivan Avila Matamorros</x:v>
      </x:c>
      <x:c r="O19" s="31" t="str">
        <x:v>Juivan Avila Matamorros</x:v>
      </x:c>
      <x:c r="P19" s="31" t="str">
        <x:v>ACTIVE</x:v>
      </x:c>
      <x:c r="Q19" s="44" t="n">
        <x:v>900000</x:v>
      </x:c>
      <x:c r="R19" s="31" t="str">
        <x:v>Hoja 1 - Valor arrendatario</x:v>
      </x:c>
      <x:c r="S19" s="44" t="n">
        <x:v>900000</x:v>
      </x:c>
      <x:c r="T19" s="31" t="str">
        <x:v>Hoja 2 - PAGO A PROPIETARIOS</x:v>
      </x:c>
      <x:c r="U19" s="46" t="str">
        <x:v>2016-06-01</x:v>
      </x:c>
      <x:c r="V19" s="46"/>
      <x:c r="W19" s="31" t="str">
        <x:v>01/06/2016 $1.250.000</x:v>
      </x:c>
      <x:c r="X19" s="31" t="str">
        <x:v>AC</x:v>
      </x:c>
      <x:c r="Y19" s="31" t="str">
        <x:v>PAGO AGOSTO 2024 / 1.250.000 (ULTIMO INCREMENTO DESDE AGOSTO DE 2024)</x:v>
      </x:c>
      <x:c r="Z19" s="41" t="b">
        <x:v>1</x:v>
      </x:c>
      <x:c r="AA19" s="31" t="str">
        <x:v>Valores distintos Hoja 1=900000 vs Hoja 2=1250000 | Valor esperado 900000 no coincide con canon bruto 1250000 | Nombre de arrendatario difiere entre hojas</x:v>
      </x:c>
    </x:row>
    <x:row r="20">
      <x:c r="A20" s="31" t="str">
        <x:v>AR-019</x:v>
      </x:c>
      <x:c r="B20" s="31" t="n">
        <x:v>19</x:v>
      </x:c>
      <x:c r="C20" s="31" t="str">
        <x:v>Hoja1</x:v>
      </x:c>
      <x:c r="D20" s="31" t="n">
        <x:v>20</x:v>
      </x:c>
      <x:c r="E20" s="31" t="str">
        <x:v>Cra 40 #30-42 sur Apto 102 Barrio Santa Rita</x:v>
      </x:c>
      <x:c r="F20" s="31" t="str">
        <x:v>Bogotá D.C.</x:v>
      </x:c>
      <x:c r="G20" s="31" t="str">
        <x:v>Santa Rita</x:v>
      </x:c>
      <x:c r="H20" s="31" t="str"/>
      <x:c r="I20" s="31" t="str">
        <x:v>Rosa Fonseca</x:v>
      </x:c>
      <x:c r="J20" s="31" t="str">
        <x:v>Cesar Ivan Lopez Ramirez y Angie Tatiana Quintero</x:v>
      </x:c>
      <x:c r="K20" s="31"/>
      <x:c r="L20" s="31"/>
      <x:c r="M20" s="31"/>
      <x:c r="N20" s="31" t="str">
        <x:v>PROFESOR BUSCAR CONTRATO Cesar Ivan Lopez Ramirez y Angie Tatiana Quintero ENTREGO </x:v>
      </x:c>
      <x:c r="O20" s="31" t="str">
        <x:v>Julio Cesar Bernal Quintero</x:v>
      </x:c>
      <x:c r="P20" s="31" t="str">
        <x:v>ENDED</x:v>
      </x:c>
      <x:c r="Q20" s="44" t="n">
        <x:v>650000</x:v>
      </x:c>
      <x:c r="R20" s="31" t="str">
        <x:v>Hoja 1 - Valor arrendatario</x:v>
      </x:c>
      <x:c r="S20" s="44" t="n">
        <x:v>550000</x:v>
      </x:c>
      <x:c r="T20" s="31" t="str">
        <x:v>Hoja 2 - PAGO A PROPIETARIOS</x:v>
      </x:c>
      <x:c r="U20" s="46" t="str">
        <x:v>2024-05-01</x:v>
      </x:c>
      <x:c r="V20" s="46"/>
      <x:c r="W20" s="31" t="str">
        <x:v>01/05/2024 $650.000</x:v>
      </x:c>
      <x:c r="X20" s="31" t="str">
        <x:v>NC</x:v>
      </x:c>
      <x:c r="Y20" s="31" t="str">
        <x:v>PAGO REALIZADO</x:v>
      </x:c>
      <x:c r="Z20" s="41" t="b">
        <x:v>1</x:v>
      </x:c>
      <x:c r="AA20" s="31" t="str">
        <x:v>Estado inferido: ENDED</x:v>
      </x:c>
    </x:row>
    <x:row r="21">
      <x:c r="A21" s="31" t="str">
        <x:v>AR-020</x:v>
      </x:c>
      <x:c r="B21" s="31" t="n">
        <x:v>20</x:v>
      </x:c>
      <x:c r="C21" s="31" t="str">
        <x:v>Hoja1</x:v>
      </x:c>
      <x:c r="D21" s="31" t="n">
        <x:v>21</x:v>
      </x:c>
      <x:c r="E21" s="31" t="str">
        <x:v>Cra 17 #19B -08 Apto 301 Barrio Restrepo Localidad Antonio Nariño PRADO VETRANIEGO</x:v>
      </x:c>
      <x:c r="F21" s="31" t="str">
        <x:v>Bogotá D.C.</x:v>
      </x:c>
      <x:c r="G21" s="31" t="str">
        <x:v>Restrepo</x:v>
      </x:c>
      <x:c r="H21" s="31" t="str">
        <x:v>Antonio Nariño PRADO VETRANIEGO</x:v>
      </x:c>
      <x:c r="I21" s="31" t="str">
        <x:v>Stella Aldana</x:v>
      </x:c>
      <x:c r="J21" s="31" t="str">
        <x:v>Sofia Vallejo Salcedo</x:v>
      </x:c>
      <x:c r="K21" s="31"/>
      <x:c r="L21" s="31"/>
      <x:c r="M21" s="31"/>
      <x:c r="N21" s="31" t="str">
        <x:v>Sofia Vallejo Salcedo</x:v>
      </x:c>
      <x:c r="O21" s="31" t="str">
        <x:v>Laura Jackeline Moreno</x:v>
      </x:c>
      <x:c r="P21" s="31" t="str">
        <x:v>ACTIVE</x:v>
      </x:c>
      <x:c r="Q21" s="44" t="n">
        <x:v>800000</x:v>
      </x:c>
      <x:c r="R21" s="31" t="str">
        <x:v>Hoja 1 - Valor arrendatario</x:v>
      </x:c>
      <x:c r="S21" s="44" t="n">
        <x:v>1062000</x:v>
      </x:c>
      <x:c r="T21" s="31" t="str">
        <x:v>Hoja 2 - PAGO A PROPIETARIOS</x:v>
      </x:c>
      <x:c r="U21" s="46" t="str">
        <x:v>2023-01-01</x:v>
      </x:c>
      <x:c r="V21" s="46"/>
      <x:c r="W21" s="31" t="str">
        <x:v>01/01/2023 $11800000</x:v>
      </x:c>
      <x:c r="X21" s="31" t="str">
        <x:v>NC</x:v>
      </x:c>
      <x:c r="Y21" s="31" t="str">
        <x:v>TERMINACIÓN MUTUO ACUERDO DESDE JUNIO DE 2024 ( ARRENDAR) FOTOS </x:v>
      </x:c>
      <x:c r="Z21" s="41" t="b">
        <x:v>1</x:v>
      </x:c>
      <x:c r="AA21" s="31" t="str">
        <x:v>Valores distintos Hoja 1=800000 vs Hoja 2=1180000 | Valor esperado 800000 no coincide con canon bruto 11800000</x:v>
      </x:c>
    </x:row>
    <x:row r="22">
      <x:c r="A22" s="31" t="str">
        <x:v>AR-021</x:v>
      </x:c>
      <x:c r="B22" s="31" t="n">
        <x:v>21</x:v>
      </x:c>
      <x:c r="C22" s="31" t="str">
        <x:v>Hoja1</x:v>
      </x:c>
      <x:c r="D22" s="31" t="n">
        <x:v>22</x:v>
      </x:c>
      <x:c r="E22" s="31" t="str">
        <x:v>Cra 12D Bis #24-55 Sur Barrio San Jose Local Comercial</x:v>
      </x:c>
      <x:c r="F22" s="31" t="str">
        <x:v>Bogotá D.C.</x:v>
      </x:c>
      <x:c r="G22" s="31" t="str">
        <x:v>San Jose Local Comercial</x:v>
      </x:c>
      <x:c r="H22" s="31" t="str"/>
      <x:c r="I22" s="31" t="str">
        <x:v>Familia Onzaga</x:v>
      </x:c>
      <x:c r="J22" s="31" t="str">
        <x:v>Edilson Dulcey Corso</x:v>
      </x:c>
      <x:c r="K22" s="31"/>
      <x:c r="L22" s="31"/>
      <x:c r="M22" s="31"/>
      <x:c r="N22" s="31" t="str">
        <x:v>Edilson Dulcey Corso</x:v>
      </x:c>
      <x:c r="O22" s="31" t="str">
        <x:v>Diego Alejandro Dulcey Corso y Cecilia Quintero</x:v>
      </x:c>
      <x:c r="P22" s="31" t="str">
        <x:v>ACTIVE</x:v>
      </x:c>
      <x:c r="Q22" s="44" t="n">
        <x:v>800000</x:v>
      </x:c>
      <x:c r="R22" s="31" t="str">
        <x:v>Hoja 1 - Valor arrendatario</x:v>
      </x:c>
      <x:c r="S22" s="44" t="n">
        <x:v>1030000</x:v>
      </x:c>
      <x:c r="T22" s="31" t="str">
        <x:v>Hoja 2 - PAGO A PROPIETARIOS</x:v>
      </x:c>
      <x:c r="U22" s="46" t="str">
        <x:v>2020-06-01</x:v>
      </x:c>
      <x:c r="V22" s="46"/>
      <x:c r="W22" s="31" t="str">
        <x:v>01/06/2020 $800.000 + INCREMENTO APLICADO $ 1.150.000</x:v>
      </x:c>
      <x:c r="X22" s="31" t="str">
        <x:v>AC</x:v>
      </x:c>
      <x:c r="Y22" s="31" t="str">
        <x:v>PAGO AGOSTO DE 2024 / 1.130.000</x:v>
      </x:c>
      <x:c r="Z22" s="41" t="b">
        <x:v>1</x:v>
      </x:c>
      <x:c r="AA22" s="31" t="str">
        <x:v>Valores distintos Hoja 1=800000 vs Hoja 2=1150000</x:v>
      </x:c>
    </x:row>
    <x:row r="23">
      <x:c r="A23" s="31" t="str">
        <x:v>AR-022</x:v>
      </x:c>
      <x:c r="B23" s="31" t="n">
        <x:v>22</x:v>
      </x:c>
      <x:c r="C23" s="31" t="str">
        <x:v>Hoja1</x:v>
      </x:c>
      <x:c r="D23" s="31" t="n">
        <x:v>23</x:v>
      </x:c>
      <x:c r="E23" s="31" t="str">
        <x:v>AC 22 sur #12B-44 Barrio Ciudad Jardin Localidad Antonio Nariño Apto 305</x:v>
      </x:c>
      <x:c r="F23" s="31" t="str">
        <x:v>Bogotá D.C.</x:v>
      </x:c>
      <x:c r="G23" s="31" t="str">
        <x:v>Ciudad Jardin</x:v>
      </x:c>
      <x:c r="H23" s="31" t="str">
        <x:v>Antonio Nariño Apto 305</x:v>
      </x:c>
      <x:c r="I23" s="31" t="str">
        <x:v>Jose Vicente Buitrago</x:v>
      </x:c>
      <x:c r="J23" s="31" t="str">
        <x:v>Fredy Sanchez canizales (dos agujas)</x:v>
      </x:c>
      <x:c r="K23" s="31"/>
      <x:c r="L23" s="31"/>
      <x:c r="M23" s="31"/>
      <x:c r="N23" s="31" t="str">
        <x:v>Fredy Sanchez canizales (dos agujas)</x:v>
      </x:c>
      <x:c r="O23" s="31" t="str">
        <x:v>Jose Arturo Caceres</x:v>
      </x:c>
      <x:c r="P23" s="31" t="str">
        <x:v>ACTIVE</x:v>
      </x:c>
      <x:c r="Q23" s="44" t="n">
        <x:v>500000</x:v>
      </x:c>
      <x:c r="R23" s="31" t="str">
        <x:v>Hoja 1 - Valor arrendatario</x:v>
      </x:c>
      <x:c r="S23" s="44"/>
      <x:c r="T23" s="31"/>
      <x:c r="U23" s="46" t="str">
        <x:v>2024-04-01</x:v>
      </x:c>
      <x:c r="V23" s="46"/>
      <x:c r="W23" s="31" t="str">
        <x:v>01/04/2024 $500.000</x:v>
      </x:c>
      <x:c r="X23" s="31" t="str">
        <x:v>NC</x:v>
      </x:c>
      <x:c r="Y23" s="31"/>
      <x:c r="Z23" s="41" t="b">
        <x:v>0</x:v>
      </x:c>
      <x:c r="AA23" s="31" t="str"/>
    </x:row>
    <x:row r="24">
      <x:c r="A24" s="31" t="str">
        <x:v>AR-023</x:v>
      </x:c>
      <x:c r="B24" s="31" t="n">
        <x:v>23</x:v>
      </x:c>
      <x:c r="C24" s="31" t="str">
        <x:v>Hoja1</x:v>
      </x:c>
      <x:c r="D24" s="31" t="n">
        <x:v>24</x:v>
      </x:c>
      <x:c r="E24" s="31" t="str">
        <x:v>Cra 40 #30-42 sur Barrio Santa Rita</x:v>
      </x:c>
      <x:c r="F24" s="31" t="str">
        <x:v>Bogotá D.C.</x:v>
      </x:c>
      <x:c r="G24" s="31" t="str">
        <x:v>Santa Rita</x:v>
      </x:c>
      <x:c r="H24" s="31" t="str"/>
      <x:c r="I24" s="31" t="str">
        <x:v>Rosa Fonseca</x:v>
      </x:c>
      <x:c r="J24" s="31" t="str">
        <x:v>July Tatiana Acosta Reina</x:v>
      </x:c>
      <x:c r="K24" s="31"/>
      <x:c r="L24" s="31"/>
      <x:c r="M24" s="31"/>
      <x:c r="N24" s="31" t="str">
        <x:v>July Tatiana Acosta Reina ( PONER A david PARRA)</x:v>
      </x:c>
      <x:c r="O24" s="31" t="str">
        <x:v>Mirian Rosalba Rubiano Reina y Felisa Reina Silva</x:v>
      </x:c>
      <x:c r="P24" s="31" t="str">
        <x:v>ACTIVE</x:v>
      </x:c>
      <x:c r="Q24" s="44" t="n">
        <x:v>650000</x:v>
      </x:c>
      <x:c r="R24" s="31" t="str">
        <x:v>Hoja 1 - Valor arrendatario</x:v>
      </x:c>
      <x:c r="S24" s="44" t="n">
        <x:v>550000</x:v>
      </x:c>
      <x:c r="T24" s="31" t="str">
        <x:v>Hoja 2 - PAGO A PROPIETARIOS</x:v>
      </x:c>
      <x:c r="U24" s="46" t="str">
        <x:v>2021-04-01</x:v>
      </x:c>
      <x:c r="V24" s="46"/>
      <x:c r="W24" s="31" t="str">
        <x:v>1/4/2021 $ 650.000</x:v>
      </x:c>
      <x:c r="X24" s="31" t="str">
        <x:v>AC</x:v>
      </x:c>
      <x:c r="Y24" s="31" t="str">
        <x:v>PENDIENTE PAGO SIN SOPORTE</x:v>
      </x:c>
      <x:c r="Z24" s="41" t="b">
        <x:v>0</x:v>
      </x:c>
      <x:c r="AA24" s="31" t="str"/>
    </x:row>
    <x:row r="25">
      <x:c r="A25" s="31" t="str">
        <x:v>AR-024</x:v>
      </x:c>
      <x:c r="B25" s="31" t="n">
        <x:v>24</x:v>
      </x:c>
      <x:c r="C25" s="31" t="str">
        <x:v>Hoja1</x:v>
      </x:c>
      <x:c r="D25" s="31" t="n">
        <x:v>25</x:v>
      </x:c>
      <x:c r="E25" s="31" t="str">
        <x:v>Cra 17 #18-47 sur Local Localidad Antonio Nariño</x:v>
      </x:c>
      <x:c r="F25" s="31" t="str">
        <x:v>Bogotá D.C.</x:v>
      </x:c>
      <x:c r="G25" s="31" t="str"/>
      <x:c r="H25" s="31" t="str">
        <x:v>Antonio Nariño</x:v>
      </x:c>
      <x:c r="I25" s="31" t="str">
        <x:v>Serafin Mariño</x:v>
      </x:c>
      <x:c r="J25" s="31" t="str">
        <x:v>Jose Gustavo Lugo Garzon</x:v>
      </x:c>
      <x:c r="K25" s="31"/>
      <x:c r="L25" s="31"/>
      <x:c r="M25" s="31"/>
      <x:c r="N25" s="31" t="str">
        <x:v>Jose Gustavo Lugo Garzon</x:v>
      </x:c>
      <x:c r="O25" s="31" t="str">
        <x:v>Angelica Molina</x:v>
      </x:c>
      <x:c r="P25" s="31" t="str">
        <x:v>ACTIVE</x:v>
      </x:c>
      <x:c r="Q25" s="44" t="n">
        <x:v>1100000</x:v>
      </x:c>
      <x:c r="R25" s="31" t="str">
        <x:v>Hoja 1 - Valor arrendatario</x:v>
      </x:c>
      <x:c r="S25" s="44" t="n">
        <x:v>1000000</x:v>
      </x:c>
      <x:c r="T25" s="31" t="str">
        <x:v>Hoja 2 - PAGO A PROPIETARIOS</x:v>
      </x:c>
      <x:c r="U25" s="46" t="str">
        <x:v>2023-11-01</x:v>
      </x:c>
      <x:c r="V25" s="46"/>
      <x:c r="W25" s="31" t="str">
        <x:v>01/11/2023 $1.100.000</x:v>
      </x:c>
      <x:c r="X25" s="31" t="str">
        <x:v>NC</x:v>
      </x:c>
      <x:c r="Y25" s="31" t="str">
        <x:v>PAGO AGOSTO 2024 / $ 1.100.000</x:v>
      </x:c>
      <x:c r="Z25" s="41" t="b">
        <x:v>0</x:v>
      </x:c>
      <x:c r="AA25" s="31" t="str"/>
    </x:row>
    <x:row r="26">
      <x:c r="A26" s="31" t="str">
        <x:v>AR-025</x:v>
      </x:c>
      <x:c r="B26" s="31" t="n">
        <x:v>25</x:v>
      </x:c>
      <x:c r="C26" s="31" t="str">
        <x:v>Hoja1</x:v>
      </x:c>
      <x:c r="D26" s="31" t="n">
        <x:v>26</x:v>
      </x:c>
      <x:c r="E26" s="31" t="str">
        <x:v>Calle 13 A #19-41 sur Aparta Estudio 202 Barrio Restrepo Localidad Antonio Nariño</x:v>
      </x:c>
      <x:c r="F26" s="31" t="str">
        <x:v>Bogotá D.C.</x:v>
      </x:c>
      <x:c r="G26" s="31" t="str">
        <x:v>Restrepo</x:v>
      </x:c>
      <x:c r="H26" s="31" t="str">
        <x:v>Antonio Nariño</x:v>
      </x:c>
      <x:c r="I26" s="31" t="str">
        <x:v>Jose Vicente Buitrago</x:v>
      </x:c>
      <x:c r="J26" s="31" t="str">
        <x:v>Heisner Johan Bautista Hoyos</x:v>
      </x:c>
      <x:c r="K26" s="31"/>
      <x:c r="L26" s="31"/>
      <x:c r="M26" s="31"/>
      <x:c r="N26" s="31" t="str">
        <x:v>Heisner Johan Bautista Hoyos</x:v>
      </x:c>
      <x:c r="O26" s="31"/>
      <x:c r="P26" s="31" t="str">
        <x:v>ENDED</x:v>
      </x:c>
      <x:c r="Q26" s="44" t="n">
        <x:v>600000</x:v>
      </x:c>
      <x:c r="R26" s="31" t="str">
        <x:v>Hoja1 - contrato/canon</x:v>
      </x:c>
      <x:c r="S26" s="44"/>
      <x:c r="T26" s="31"/>
      <x:c r="U26" s="46" t="str">
        <x:v>2024-04-10</x:v>
      </x:c>
      <x:c r="V26" s="46"/>
      <x:c r="W26" s="31" t="str">
        <x:v>10/04/2024 $600.000</x:v>
      </x:c>
      <x:c r="X26" s="31" t="str">
        <x:v>NC</x:v>
      </x:c>
      <x:c r="Y26" s="31"/>
      <x:c r="Z26" s="41" t="b">
        <x:v>1</x:v>
      </x:c>
      <x:c r="AA26" s="31" t="str">
        <x:v>Estado inferido: ENDED</x:v>
      </x:c>
    </x:row>
    <x:row r="27">
      <x:c r="A27" s="31" t="str">
        <x:v>AR-026</x:v>
      </x:c>
      <x:c r="B27" s="31" t="n">
        <x:v>26</x:v>
      </x:c>
      <x:c r="C27" s="31" t="str">
        <x:v>Hoja1</x:v>
      </x:c>
      <x:c r="D27" s="31" t="n">
        <x:v>27</x:v>
      </x:c>
      <x:c r="E27" s="31" t="str">
        <x:v>AC 22 sur #12B-44 Barrio Ciudad Jardin Localidad Antonio Nariño Apto 405</x:v>
      </x:c>
      <x:c r="F27" s="31" t="str">
        <x:v>Bogotá D.C.</x:v>
      </x:c>
      <x:c r="G27" s="31" t="str">
        <x:v>Ciudad Jardin</x:v>
      </x:c>
      <x:c r="H27" s="31" t="str">
        <x:v>Antonio Nariño Apto 405</x:v>
      </x:c>
      <x:c r="I27" s="31" t="str">
        <x:v>Jose Vicente Buitrago</x:v>
      </x:c>
      <x:c r="J27" s="31" t="str">
        <x:v>Felix Gregorio Bolivar Cordero y Margarita Reyes</x:v>
      </x:c>
      <x:c r="K27" s="31"/>
      <x:c r="L27" s="31"/>
      <x:c r="M27" s="31"/>
      <x:c r="N27" s="31" t="str">
        <x:v>Felix Gregorio Bolivar Cordero y Margarita Reyes</x:v>
      </x:c>
      <x:c r="O27" s="31"/>
      <x:c r="P27" s="31" t="str">
        <x:v>ACTIVE</x:v>
      </x:c>
      <x:c r="Q27" s="44" t="n">
        <x:v>500000</x:v>
      </x:c>
      <x:c r="R27" s="31" t="str">
        <x:v>Hoja 1 - Valor arrendatario</x:v>
      </x:c>
      <x:c r="S27" s="44"/>
      <x:c r="T27" s="31"/>
      <x:c r="U27" s="46" t="str">
        <x:v>2024-06-17</x:v>
      </x:c>
      <x:c r="V27" s="46"/>
      <x:c r="W27" s="31" t="str">
        <x:v>17/06/2024 $500.000</x:v>
      </x:c>
      <x:c r="X27" s="31" t="str">
        <x:v>NC</x:v>
      </x:c>
      <x:c r="Y27" s="31"/>
      <x:c r="Z27" s="41" t="b">
        <x:v>0</x:v>
      </x:c>
      <x:c r="AA27" s="31" t="str"/>
    </x:row>
    <x:row r="28">
      <x:c r="A28" s="31" t="str">
        <x:v>AR-027</x:v>
      </x:c>
      <x:c r="B28" s="31" t="n">
        <x:v>27</x:v>
      </x:c>
      <x:c r="C28" s="31" t="str">
        <x:v>Hoja1</x:v>
      </x:c>
      <x:c r="D28" s="31" t="n">
        <x:v>28</x:v>
      </x:c>
      <x:c r="E28" s="31" t="str">
        <x:v>Cra 12 B BIS #24-51 sur Barrio San Jose</x:v>
      </x:c>
      <x:c r="F28" s="31" t="str">
        <x:v>Bogotá D.C.</x:v>
      </x:c>
      <x:c r="G28" s="31" t="str">
        <x:v>San Jose</x:v>
      </x:c>
      <x:c r="H28" s="31" t="str"/>
      <x:c r="I28" s="31" t="str">
        <x:v>Familia Onzaga</x:v>
      </x:c>
      <x:c r="J28" s="31" t="str">
        <x:v>Alexandra Grajales Rico</x:v>
      </x:c>
      <x:c r="K28" s="31"/>
      <x:c r="L28" s="31"/>
      <x:c r="M28" s="31"/>
      <x:c r="N28" s="31" t="str">
        <x:v>Alexandra Grajales Rico</x:v>
      </x:c>
      <x:c r="O28" s="31" t="str">
        <x:v>Martha Esneida Rico Agudelo y Sandra Milena Grajales Rico</x:v>
      </x:c>
      <x:c r="P28" s="31" t="str">
        <x:v>ENDED</x:v>
      </x:c>
      <x:c r="Q28" s="44" t="n">
        <x:v>900000</x:v>
      </x:c>
      <x:c r="R28" s="31" t="str">
        <x:v>Hoja 1 - Valor arrendatario</x:v>
      </x:c>
      <x:c r="S28" s="44" t="n">
        <x:v>800000</x:v>
      </x:c>
      <x:c r="T28" s="31" t="str">
        <x:v>Hoja 1 propietarios fila 111</x:v>
      </x:c>
      <x:c r="U28" s="46" t="str">
        <x:v>2021-10-01</x:v>
      </x:c>
      <x:c r="V28" s="46"/>
      <x:c r="W28" s="31" t="str">
        <x:v>01/10/2021 $900.000</x:v>
      </x:c>
      <x:c r="X28" s="31"/>
      <x:c r="Y28" s="31" t="str">
        <x:v>TERMINADO</x:v>
      </x:c>
      <x:c r="Z28" s="41" t="b">
        <x:v>1</x:v>
      </x:c>
      <x:c r="AA28" s="31" t="str">
        <x:v>Estado inferido: ENDED</x:v>
      </x:c>
    </x:row>
    <x:row r="29">
      <x:c r="A29" s="31" t="str">
        <x:v>AR-028</x:v>
      </x:c>
      <x:c r="B29" s="31" t="n">
        <x:v>28</x:v>
      </x:c>
      <x:c r="C29" s="31" t="str">
        <x:v>Hoja1</x:v>
      </x:c>
      <x:c r="D29" s="31" t="n">
        <x:v>29</x:v>
      </x:c>
      <x:c r="E29" s="31" t="str">
        <x:v>Calle 135 A # 9A-20 Apto 102</x:v>
      </x:c>
      <x:c r="F29" s="31" t="str">
        <x:v>Bogotá D.C.</x:v>
      </x:c>
      <x:c r="G29" s="31" t="str"/>
      <x:c r="H29" s="31" t="str"/>
      <x:c r="I29" s="31" t="str">
        <x:v>Jose Vicente Buitrago</x:v>
      </x:c>
      <x:c r="J29" s="31" t="str">
        <x:v>Edgar Antonio Martinez Paredes</x:v>
      </x:c>
      <x:c r="K29" s="31"/>
      <x:c r="L29" s="31"/>
      <x:c r="M29" s="31"/>
      <x:c r="N29" s="31" t="str">
        <x:v>Edgar Antonio Martinez Paredes</x:v>
      </x:c>
      <x:c r="O29" s="31" t="str">
        <x:v>Edgar Emiliano Martinez Mendoza y Bebbie Ester Paredes Flores</x:v>
      </x:c>
      <x:c r="P29" s="31" t="str">
        <x:v>ACTIVE</x:v>
      </x:c>
      <x:c r="Q29" s="44" t="n">
        <x:v>1173000</x:v>
      </x:c>
      <x:c r="R29" s="31" t="str">
        <x:v>Hoja 1 - Valor arrendatario</x:v>
      </x:c>
      <x:c r="S29" s="44"/>
      <x:c r="T29" s="31"/>
      <x:c r="U29" s="46" t="str">
        <x:v>2020-01-01</x:v>
      </x:c>
      <x:c r="V29" s="46"/>
      <x:c r="W29" s="31" t="str">
        <x:v>1/1/2020 $ 1.173.000</x:v>
      </x:c>
      <x:c r="X29" s="31"/>
      <x:c r="Y29" s="31" t="str">
        <x:v>PAGO AGOSTO DE 2024 / $1.173.000</x:v>
      </x:c>
      <x:c r="Z29" s="41" t="b">
        <x:v>0</x:v>
      </x:c>
      <x:c r="AA29" s="31" t="str"/>
    </x:row>
    <x:row r="30">
      <x:c r="A30" s="31" t="str">
        <x:v>AR-029</x:v>
      </x:c>
      <x:c r="B30" s="31" t="n">
        <x:v>29</x:v>
      </x:c>
      <x:c r="C30" s="31" t="str">
        <x:v>Hoja1</x:v>
      </x:c>
      <x:c r="D30" s="31" t="n">
        <x:v>30</x:v>
      </x:c>
      <x:c r="E30" s="31" t="str">
        <x:v>Calle 152B #58C-50 Conjunto residencial colinas de cantabdia Apto 404 torre 11 manzana8</x:v>
      </x:c>
      <x:c r="F30" s="31" t="str">
        <x:v>Bogotá D.C.</x:v>
      </x:c>
      <x:c r="G30" s="31" t="str"/>
      <x:c r="H30" s="31" t="str"/>
      <x:c r="I30" s="31" t="str">
        <x:v>Adiela Florez</x:v>
      </x:c>
      <x:c r="J30" s="31" t="str">
        <x:v>Alejandra del Pilar Guzman Amaya</x:v>
      </x:c>
      <x:c r="K30" s="31"/>
      <x:c r="L30" s="31"/>
      <x:c r="M30" s="31"/>
      <x:c r="N30" s="31" t="str">
        <x:v>Alejandra del Pilar Guzman Amaya</x:v>
      </x:c>
      <x:c r="O30" s="31" t="str">
        <x:v>Ana Elvira del Pilar Amaya Quidones</x:v>
      </x:c>
      <x:c r="P30" s="31" t="str">
        <x:v>ACTIVE</x:v>
      </x:c>
      <x:c r="Q30" s="44" t="n">
        <x:v>1450000</x:v>
      </x:c>
      <x:c r="R30" s="31" t="str">
        <x:v>Hoja 1 - Valor arrendatario</x:v>
      </x:c>
      <x:c r="S30" s="44" t="n">
        <x:v>1450000</x:v>
      </x:c>
      <x:c r="T30" s="31" t="str">
        <x:v>Hoja 1 propietarios fila 112</x:v>
      </x:c>
      <x:c r="U30" s="46" t="str">
        <x:v>2023-06-01</x:v>
      </x:c>
      <x:c r="V30" s="46"/>
      <x:c r="W30" s="31" t="str">
        <x:v>01/06/2023 $1.450.000 x12 meses</x:v>
      </x:c>
      <x:c r="X30" s="31" t="str">
        <x:v>NC</x:v>
      </x:c>
      <x:c r="Y30" s="31" t="str">
        <x:v>PAGO AÑO COMPLETO $17.400.000</x:v>
      </x:c>
      <x:c r="Z30" s="41" t="b">
        <x:v>0</x:v>
      </x:c>
      <x:c r="AA30" s="31" t="str"/>
    </x:row>
    <x:row r="31">
      <x:c r="A31" s="31" t="str">
        <x:v>AR-030</x:v>
      </x:c>
      <x:c r="B31" s="31" t="n">
        <x:v>30</x:v>
      </x:c>
      <x:c r="C31" s="31" t="str">
        <x:v>Hoja1</x:v>
      </x:c>
      <x:c r="D31" s="31" t="n">
        <x:v>31</x:v>
      </x:c>
      <x:c r="E31" s="31" t="str">
        <x:v>AC 22 sur #12B-44 Barrio Ciudad Jardin Localidad Antonio Nariño Apto 301</x:v>
      </x:c>
      <x:c r="F31" s="31" t="str">
        <x:v>Bogotá D.C.</x:v>
      </x:c>
      <x:c r="G31" s="31" t="str">
        <x:v>Ciudad Jardin</x:v>
      </x:c>
      <x:c r="H31" s="31" t="str">
        <x:v>Antonio Nariño Apto 301</x:v>
      </x:c>
      <x:c r="I31" s="31" t="str">
        <x:v>Jose Vicente Buitrago</x:v>
      </x:c>
      <x:c r="J31" s="31" t="str">
        <x:v>Veronica Murillo Castaño (Transgenero)</x:v>
      </x:c>
      <x:c r="K31" s="31"/>
      <x:c r="L31" s="31"/>
      <x:c r="M31" s="31"/>
      <x:c r="N31" s="31" t="str">
        <x:v>Veronica Murillo Castaño (Transgenero)</x:v>
      </x:c>
      <x:c r="O31" s="31"/>
      <x:c r="P31" s="31" t="str">
        <x:v>ACTIVE</x:v>
      </x:c>
      <x:c r="Q31" s="44" t="n">
        <x:v>500000</x:v>
      </x:c>
      <x:c r="R31" s="31" t="str">
        <x:v>Hoja 1 - Valor arrendatario</x:v>
      </x:c>
      <x:c r="S31" s="44"/>
      <x:c r="T31" s="31"/>
      <x:c r="U31" s="46" t="str">
        <x:v>2024-02-01</x:v>
      </x:c>
      <x:c r="V31" s="46"/>
      <x:c r="W31" s="31" t="str">
        <x:v>01/02/2024 $500.000</x:v>
      </x:c>
      <x:c r="X31" s="31" t="str">
        <x:v>NC</x:v>
      </x:c>
      <x:c r="Y31" s="31"/>
      <x:c r="Z31" s="41" t="b">
        <x:v>0</x:v>
      </x:c>
      <x:c r="AA31" s="31" t="str"/>
    </x:row>
    <x:row r="32">
      <x:c r="A32" s="31" t="str">
        <x:v>AR-031</x:v>
      </x:c>
      <x:c r="B32" s="31" t="n">
        <x:v>31</x:v>
      </x:c>
      <x:c r="C32" s="31" t="str">
        <x:v>Hoja1</x:v>
      </x:c>
      <x:c r="D32" s="31" t="n">
        <x:v>32</x:v>
      </x:c>
      <x:c r="E32" s="31" t="str">
        <x:v>Cra 17 #19B -08 Cuarto Piso Barrio Restrepo Localidad Antonio Nariño</x:v>
      </x:c>
      <x:c r="F32" s="31" t="str">
        <x:v>Bogotá D.C.</x:v>
      </x:c>
      <x:c r="G32" s="31" t="str">
        <x:v>Restrepo</x:v>
      </x:c>
      <x:c r="H32" s="31" t="str">
        <x:v>Antonio Nariño</x:v>
      </x:c>
      <x:c r="I32" s="31" t="str">
        <x:v>Gladys Aldana</x:v>
      </x:c>
      <x:c r="J32" s="31" t="str">
        <x:v>Liliana Mayerly Valvuena Suescun</x:v>
      </x:c>
      <x:c r="K32" s="31"/>
      <x:c r="L32" s="31"/>
      <x:c r="M32" s="31"/>
      <x:c r="N32" s="31" t="str">
        <x:v>Liliana Mayerly Valvuena Suescun</x:v>
      </x:c>
      <x:c r="O32" s="31" t="str">
        <x:v>Mery Yadelsy Suescun Herrera y Gustavo Hernandez</x:v>
      </x:c>
      <x:c r="P32" s="31" t="str">
        <x:v>ACTIVE</x:v>
      </x:c>
      <x:c r="Q32" s="44" t="n">
        <x:v>740000</x:v>
      </x:c>
      <x:c r="R32" s="31" t="str">
        <x:v>Hoja 1 - Valor arrendatario</x:v>
      </x:c>
      <x:c r="S32" s="44" t="n">
        <x:v>666000</x:v>
      </x:c>
      <x:c r="T32" s="31" t="str">
        <x:v>Hoja 2 - PAGO A PROPIETARIOS</x:v>
      </x:c>
      <x:c r="U32" s="46" t="str">
        <x:v>2022-03-01</x:v>
      </x:c>
      <x:c r="V32" s="46"/>
      <x:c r="W32" s="31" t="str">
        <x:v>01/03/2022 $740.000 octubre 2022</x:v>
      </x:c>
      <x:c r="X32" s="31" t="str">
        <x:v>AC</x:v>
      </x:c>
      <x:c r="Y32" s="31" t="str">
        <x:v>PENDIENTE PAGO SIN SOPORTE</x:v>
      </x:c>
      <x:c r="Z32" s="41" t="b">
        <x:v>0</x:v>
      </x:c>
      <x:c r="AA32" s="31" t="str"/>
    </x:row>
    <x:row r="33">
      <x:c r="A33" s="31" t="str">
        <x:v>AR-032</x:v>
      </x:c>
      <x:c r="B33" s="31" t="n">
        <x:v>32</x:v>
      </x:c>
      <x:c r="C33" s="31" t="str">
        <x:v>Hoja1</x:v>
      </x:c>
      <x:c r="D33" s="31" t="n">
        <x:v>33</x:v>
      </x:c>
      <x:c r="E33" s="31" t="str">
        <x:v>AC 22 sur #12B-44 Barrio Ciudad Jardin Localidad Antonio Nariño Apto 406</x:v>
      </x:c>
      <x:c r="F33" s="31" t="str">
        <x:v>Bogotá D.C.</x:v>
      </x:c>
      <x:c r="G33" s="31" t="str">
        <x:v>Ciudad Jardin</x:v>
      </x:c>
      <x:c r="H33" s="31" t="str">
        <x:v>Antonio Nariño Apto 406</x:v>
      </x:c>
      <x:c r="I33" s="31" t="str">
        <x:v>Jose Vicente Buitrago</x:v>
      </x:c>
      <x:c r="J33" s="31" t="str">
        <x:v>Yeison Suarez o Hijo</x:v>
      </x:c>
      <x:c r="K33" s="31"/>
      <x:c r="L33" s="31"/>
      <x:c r="M33" s="31"/>
      <x:c r="N33" s="31" t="str">
        <x:v>Yeison Suarez o Hijo</x:v>
      </x:c>
      <x:c r="O33" s="31"/>
      <x:c r="P33" s="31" t="str">
        <x:v>ACTIVE</x:v>
      </x:c>
      <x:c r="Q33" s="44" t="n">
        <x:v>500000</x:v>
      </x:c>
      <x:c r="R33" s="31" t="str">
        <x:v>Hoja 1 - Valor arrendatario</x:v>
      </x:c>
      <x:c r="S33" s="44"/>
      <x:c r="T33" s="31"/>
      <x:c r="U33" s="46" t="str">
        <x:v>2023-10-15</x:v>
      </x:c>
      <x:c r="V33" s="46"/>
      <x:c r="W33" s="31" t="str">
        <x:v>15/10/2023 $500.000</x:v>
      </x:c>
      <x:c r="X33" s="31" t="str">
        <x:v>NC</x:v>
      </x:c>
      <x:c r="Y33" s="31"/>
      <x:c r="Z33" s="41" t="b">
        <x:v>0</x:v>
      </x:c>
      <x:c r="AA33" s="31" t="str"/>
    </x:row>
    <x:row r="34">
      <x:c r="A34" s="31" t="str">
        <x:v>AR-033</x:v>
      </x:c>
      <x:c r="B34" s="31" t="n">
        <x:v>33</x:v>
      </x:c>
      <x:c r="C34" s="31" t="str">
        <x:v>Hoja1</x:v>
      </x:c>
      <x:c r="D34" s="31" t="n">
        <x:v>34</x:v>
      </x:c>
      <x:c r="E34" s="31" t="str">
        <x:v>AC 22 sur #12B-44 Barrio Ciudad Jardin Localidad Antonio Nariño Apto 302</x:v>
      </x:c>
      <x:c r="F34" s="31" t="str">
        <x:v>Bogotá D.C.</x:v>
      </x:c>
      <x:c r="G34" s="31" t="str">
        <x:v>Ciudad Jardin</x:v>
      </x:c>
      <x:c r="H34" s="31" t="str">
        <x:v>Antonio Nariño Apto 302</x:v>
      </x:c>
      <x:c r="I34" s="31" t="str">
        <x:v>Jose Vicente Buitrago</x:v>
      </x:c>
      <x:c r="J34" s="31" t="str">
        <x:v>Juan Carlos Rueda</x:v>
      </x:c>
      <x:c r="K34" s="31"/>
      <x:c r="L34" s="31"/>
      <x:c r="M34" s="31"/>
      <x:c r="N34" s="31" t="str">
        <x:v>Juan Carlos Rueda</x:v>
      </x:c>
      <x:c r="O34" s="31"/>
      <x:c r="P34" s="31" t="str">
        <x:v>ACTIVE</x:v>
      </x:c>
      <x:c r="Q34" s="44" t="n">
        <x:v>350000</x:v>
      </x:c>
      <x:c r="R34" s="31" t="str">
        <x:v>Hoja 1 - Valor arrendatario</x:v>
      </x:c>
      <x:c r="S34" s="44"/>
      <x:c r="T34" s="31"/>
      <x:c r="U34" s="46" t="str">
        <x:v>2023-07-12</x:v>
      </x:c>
      <x:c r="V34" s="46"/>
      <x:c r="W34" s="31" t="str">
        <x:v>12/07/2023 $350.000</x:v>
      </x:c>
      <x:c r="X34" s="31" t="str">
        <x:v>NC</x:v>
      </x:c>
      <x:c r="Y34" s="31"/>
      <x:c r="Z34" s="41" t="b">
        <x:v>0</x:v>
      </x:c>
      <x:c r="AA34" s="31" t="str"/>
    </x:row>
    <x:row r="35">
      <x:c r="A35" s="31" t="str">
        <x:v>AR-034</x:v>
      </x:c>
      <x:c r="B35" s="31" t="n">
        <x:v>34</x:v>
      </x:c>
      <x:c r="C35" s="31" t="str">
        <x:v>Hoja1</x:v>
      </x:c>
      <x:c r="D35" s="31" t="n">
        <x:v>35</x:v>
      </x:c>
      <x:c r="E35" s="31" t="str">
        <x:v>Calle 23 sur #10D-34 Apto 101</x:v>
      </x:c>
      <x:c r="F35" s="31" t="str">
        <x:v>Bogotá D.C.</x:v>
      </x:c>
      <x:c r="G35" s="31" t="str"/>
      <x:c r="H35" s="31" t="str"/>
      <x:c r="I35" s="31" t="str">
        <x:v>Fernando Cristancho</x:v>
      </x:c>
      <x:c r="J35" s="31" t="str">
        <x:v>German Alberto Carvajal</x:v>
      </x:c>
      <x:c r="K35" s="31"/>
      <x:c r="L35" s="31"/>
      <x:c r="M35" s="31"/>
      <x:c r="N35" s="31" t="str">
        <x:v>German Alberto Carvajal</x:v>
      </x:c>
      <x:c r="O35" s="31"/>
      <x:c r="P35" s="31" t="str">
        <x:v>ACTIVE</x:v>
      </x:c>
      <x:c r="Q35" s="44" t="n">
        <x:v>600000</x:v>
      </x:c>
      <x:c r="R35" s="31" t="str">
        <x:v>Hoja 1 - Valor arrendatario</x:v>
      </x:c>
      <x:c r="S35" s="44" t="n">
        <x:v>670000</x:v>
      </x:c>
      <x:c r="T35" s="31" t="str">
        <x:v>Hoja 2 - PAGO A PROPIETARIOS</x:v>
      </x:c>
      <x:c r="U35" s="46" t="str">
        <x:v>2014-08-01</x:v>
      </x:c>
      <x:c r="V35" s="46"/>
      <x:c r="W35" s="31" t="str">
        <x:v>01/08/2014 $840.000 (SE PAGA 670.000 OJO)</x:v>
      </x:c>
      <x:c r="X35" s="31" t="str">
        <x:v>AC</x:v>
      </x:c>
      <x:c r="Y35" s="31" t="str">
        <x:v>PAGO AGOSTO DE 2024 / $ 840.000</x:v>
      </x:c>
      <x:c r="Z35" s="41" t="b">
        <x:v>1</x:v>
      </x:c>
      <x:c r="AA35" s="31" t="str">
        <x:v>Valores distintos Hoja 1=600000 vs Hoja 2=840000 | Valor esperado 600000 no coincide con canon bruto 670000</x:v>
      </x:c>
    </x:row>
    <x:row r="36">
      <x:c r="A36" s="31" t="str">
        <x:v>AR-035</x:v>
      </x:c>
      <x:c r="B36" s="31" t="n">
        <x:v>35</x:v>
      </x:c>
      <x:c r="C36" s="31" t="str">
        <x:v>Hoja1</x:v>
      </x:c>
      <x:c r="D36" s="31" t="n">
        <x:v>36</x:v>
      </x:c>
      <x:c r="E36" s="31" t="str">
        <x:v>Portales del Prado Calle 128 #4B-26 Apto 501 Int 11</x:v>
      </x:c>
      <x:c r="F36" s="31" t="str">
        <x:v>Bogotá D.C.</x:v>
      </x:c>
      <x:c r="G36" s="31" t="str"/>
      <x:c r="H36" s="31" t="str"/>
      <x:c r="I36" s="31" t="str">
        <x:v>Adiela Florez</x:v>
      </x:c>
      <x:c r="J36" s="31" t="str">
        <x:v>Sofia Vallejo Salcedo</x:v>
      </x:c>
      <x:c r="K36" s="31"/>
      <x:c r="L36" s="31"/>
      <x:c r="M36" s="31"/>
      <x:c r="N36" s="31" t="str">
        <x:v>Celys Yaney Delgado Olivares</x:v>
      </x:c>
      <x:c r="O36" s="31" t="str">
        <x:v>Alejandro Galindo Palacios y Carolina Salgado </x:v>
      </x:c>
      <x:c r="P36" s="31" t="str">
        <x:v>ENDED</x:v>
      </x:c>
      <x:c r="Q36" s="44" t="n">
        <x:v>1180000</x:v>
      </x:c>
      <x:c r="R36" s="31" t="str">
        <x:v>Hoja 1 - Valor arrendatario</x:v>
      </x:c>
      <x:c r="S36" s="44" t="n">
        <x:v>1180000</x:v>
      </x:c>
      <x:c r="T36" s="31" t="str">
        <x:v>Hoja 1 propietarios fila 113</x:v>
      </x:c>
      <x:c r="U36" s="46" t="str">
        <x:v>2023-04-01</x:v>
      </x:c>
      <x:c r="V36" s="46"/>
      <x:c r="W36" s="31" t="str">
        <x:v>01/04/2023 $1.180.000 incluye administracion</x:v>
      </x:c>
      <x:c r="X36" s="31" t="str">
        <x:v>NC</x:v>
      </x:c>
      <x:c r="Y36" s="31" t="str">
        <x:v>Falta Chip / TERMINADO POR INCUMPLIMIENTO INICIAR DEMANDA EJECUTIVA / REMPLAZO SOFIA VALLEJO PAGANDO $ 1.180.000</x:v>
      </x:c>
      <x:c r="Z36" s="41" t="b">
        <x:v>1</x:v>
      </x:c>
      <x:c r="AA36" s="31" t="str">
        <x:v>Nombre de arrendatario difiere entre hojas | Estado inferido: ENDED</x:v>
      </x:c>
    </x:row>
    <x:row r="37">
      <x:c r="A37" s="31" t="str">
        <x:v>AR-036</x:v>
      </x:c>
      <x:c r="B37" s="31" t="n">
        <x:v>36</x:v>
      </x:c>
      <x:c r="C37" s="31" t="str">
        <x:v>Hoja1</x:v>
      </x:c>
      <x:c r="D37" s="31" t="n">
        <x:v>37</x:v>
      </x:c>
      <x:c r="E37" s="31" t="str">
        <x:v>AC 22 sur #12B-44 Barrio Ciudad Jardin Localidad Antonio Nariño Apto 201</x:v>
      </x:c>
      <x:c r="F37" s="31" t="str">
        <x:v>Bogotá D.C.</x:v>
      </x:c>
      <x:c r="G37" s="31" t="str">
        <x:v>Ciudad Jardin</x:v>
      </x:c>
      <x:c r="H37" s="31" t="str">
        <x:v>Antonio Nariño Apto 201</x:v>
      </x:c>
      <x:c r="I37" s="31" t="str">
        <x:v>Jose Vicente Buitrago</x:v>
      </x:c>
      <x:c r="J37" s="31" t="str">
        <x:v>Eliufran Leonel Revero</x:v>
      </x:c>
      <x:c r="K37" s="31"/>
      <x:c r="L37" s="31"/>
      <x:c r="M37" s="31"/>
      <x:c r="N37" s="31" t="str">
        <x:v>Eliufran  Leonel Revero</x:v>
      </x:c>
      <x:c r="O37" s="31"/>
      <x:c r="P37" s="31" t="str">
        <x:v>ACTIVE</x:v>
      </x:c>
      <x:c r="Q37" s="44" t="n">
        <x:v>600000</x:v>
      </x:c>
      <x:c r="R37" s="31" t="str">
        <x:v>Hoja 1 - Valor arrendatario</x:v>
      </x:c>
      <x:c r="S37" s="44"/>
      <x:c r="T37" s="31"/>
      <x:c r="U37" s="46" t="str">
        <x:v>2022-12-27</x:v>
      </x:c>
      <x:c r="V37" s="46"/>
      <x:c r="W37" s="31" t="str">
        <x:v>27/12/2022 $600.000</x:v>
      </x:c>
      <x:c r="X37" s="31"/>
      <x:c r="Y37" s="31"/>
      <x:c r="Z37" s="41" t="b">
        <x:v>0</x:v>
      </x:c>
      <x:c r="AA37" s="31" t="str"/>
    </x:row>
    <x:row r="38">
      <x:c r="A38" s="31" t="str">
        <x:v>AR-037</x:v>
      </x:c>
      <x:c r="B38" s="31" t="n">
        <x:v>37</x:v>
      </x:c>
      <x:c r="C38" s="31" t="str">
        <x:v>Hoja1</x:v>
      </x:c>
      <x:c r="D38" s="31" t="n">
        <x:v>38</x:v>
      </x:c>
      <x:c r="E38" s="31" t="str">
        <x:v>Carrera 5J este #68D-11 sur</x:v>
      </x:c>
      <x:c r="F38" s="31" t="str">
        <x:v>Bogotá D.C.</x:v>
      </x:c>
      <x:c r="G38" s="31" t="str"/>
      <x:c r="H38" s="31" t="str"/>
      <x:c r="I38" s="31" t="str">
        <x:v>Dro. Trivino</x:v>
      </x:c>
      <x:c r="J38" s="31"/>
      <x:c r="K38" s="31"/>
      <x:c r="L38" s="31"/>
      <x:c r="M38" s="31"/>
      <x:c r="N38" s="31"/>
      <x:c r="O38" s="31"/>
      <x:c r="P38" s="31" t="str">
        <x:v>ENDED</x:v>
      </x:c>
      <x:c r="Q38" s="44"/>
      <x:c r="R38" s="31" t="str">
        <x:v>Sin valor confiable</x:v>
      </x:c>
      <x:c r="S38" s="44"/>
      <x:c r="T38" s="31"/>
      <x:c r="U38" s="46"/>
      <x:c r="V38" s="46"/>
      <x:c r="W38" s="31"/>
      <x:c r="X38" s="31"/>
      <x:c r="Y38" s="31" t="str">
        <x:v>TERMINADO</x:v>
      </x:c>
      <x:c r="Z38" s="41" t="b">
        <x:v>1</x:v>
      </x:c>
      <x:c r="AA38" s="31" t="str">
        <x:v>Falta arrendatario | Falta valor esperado | Estado inferido: ENDED</x:v>
      </x:c>
    </x:row>
    <x:row r="39">
      <x:c r="A39" s="31" t="str">
        <x:v>AR-038</x:v>
      </x:c>
      <x:c r="B39" s="31" t="n">
        <x:v>38</x:v>
      </x:c>
      <x:c r="C39" s="31" t="str">
        <x:v>Hoja1</x:v>
      </x:c>
      <x:c r="D39" s="31" t="n">
        <x:v>39</x:v>
      </x:c>
      <x:c r="E39" s="31" t="str">
        <x:v>Cra 12D Bis #24-63  Sur L. Uribe</x:v>
      </x:c>
      <x:c r="F39" s="31" t="str">
        <x:v>Bogotá D.C.</x:v>
      </x:c>
      <x:c r="G39" s="31" t="str"/>
      <x:c r="H39" s="31" t="str"/>
      <x:c r="I39" s="31" t="str">
        <x:v>Luis Roberto Dulcey</x:v>
      </x:c>
      <x:c r="J39" s="31" t="str">
        <x:v>Hector Chamorro Fuertes (Frasarela)</x:v>
      </x:c>
      <x:c r="K39" s="31"/>
      <x:c r="L39" s="31"/>
      <x:c r="M39" s="31"/>
      <x:c r="N39" s="31" t="str">
        <x:v>Hector Chamorro Fuertes (Frasarela)</x:v>
      </x:c>
      <x:c r="O39" s="31" t="str">
        <x:v>Liceth Yurani Almeida Madronero</x:v>
      </x:c>
      <x:c r="P39" s="31" t="str">
        <x:v>ACTIVE</x:v>
      </x:c>
      <x:c r="Q39" s="44" t="n">
        <x:v>6050000</x:v>
      </x:c>
      <x:c r="R39" s="31" t="str">
        <x:v>Hoja 1 - Valor arrendatario</x:v>
      </x:c>
      <x:c r="S39" s="44" t="n">
        <x:v>5435000</x:v>
      </x:c>
      <x:c r="T39" s="31" t="str">
        <x:v>Hoja 2 - PAGO A PROPIETARIOS</x:v>
      </x:c>
      <x:c r="U39" s="46" t="str">
        <x:v>2023-02-01</x:v>
      </x:c>
      <x:c r="V39" s="46"/>
      <x:c r="W39" s="31" t="str">
        <x:v>01/02/2023 $5.500.000 + NC $ 6.050.000 (2024) 6.650.000 (2025)</x:v>
      </x:c>
      <x:c r="X39" s="31" t="str">
        <x:v>NC COMERCIAL</x:v>
      </x:c>
      <x:c r="Y39" s="31" t="str">
        <x:v>PAGO PENDIENTE 1.050.000</x:v>
      </x:c>
      <x:c r="Z39" s="41" t="b">
        <x:v>0</x:v>
      </x:c>
      <x:c r="AA39" s="31" t="str"/>
    </x:row>
    <x:row r="40">
      <x:c r="A40" s="31" t="str">
        <x:v>AR-039</x:v>
      </x:c>
      <x:c r="B40" s="31" t="n">
        <x:v>39</x:v>
      </x:c>
      <x:c r="C40" s="31" t="str">
        <x:v>Hoja1</x:v>
      </x:c>
      <x:c r="D40" s="31" t="n">
        <x:v>40</x:v>
      </x:c>
      <x:c r="E40" s="31" t="str">
        <x:v>Cra 10 Bis #16-30 sur Apto 101 Antonio Nariño</x:v>
      </x:c>
      <x:c r="F40" s="31" t="str">
        <x:v>Bogotá D.C.</x:v>
      </x:c>
      <x:c r="G40" s="31" t="str"/>
      <x:c r="H40" s="31" t="str"/>
      <x:c r="I40" s="31" t="str">
        <x:v>Marco Aurelio Roa</x:v>
      </x:c>
      <x:c r="J40" s="31" t="str">
        <x:v>Yadira Bonilla Barragao</x:v>
      </x:c>
      <x:c r="K40" s="31"/>
      <x:c r="L40" s="31"/>
      <x:c r="M40" s="31"/>
      <x:c r="N40" s="31" t="str">
        <x:v>Yadira Bonilla Barragao / NUEVOS </x:v>
      </x:c>
      <x:c r="O40" s="31" t="str">
        <x:v>Miriam Barragan, Michel Buitrago Bonilla y Darien Buitrago Bonilla</x:v>
      </x:c>
      <x:c r="P40" s="31" t="str">
        <x:v>ACTIVE</x:v>
      </x:c>
      <x:c r="Q40" s="44" t="n">
        <x:v>1092800</x:v>
      </x:c>
      <x:c r="R40" s="31" t="str">
        <x:v>Hoja 1 - Valor arrendatario</x:v>
      </x:c>
      <x:c r="S40" s="44" t="n">
        <x:v>990000</x:v>
      </x:c>
      <x:c r="T40" s="31" t="str">
        <x:v>Hoja 2 - PAGO A PROPIETARIOS</x:v>
      </x:c>
      <x:c r="U40" s="46" t="str">
        <x:v>2023-03-01</x:v>
      </x:c>
      <x:c r="V40" s="46"/>
      <x:c r="W40" s="31" t="str">
        <x:v>01/03/2023 $1.000.000 + NC $ 1.092.800 (2024)</x:v>
      </x:c>
      <x:c r="X40" s="31" t="str">
        <x:v>NC </x:v>
      </x:c>
      <x:c r="Y40" s="31" t="str">
        <x:v>Falta Chip</x:v>
      </x:c>
      <x:c r="Z40" s="41" t="b">
        <x:v>0</x:v>
      </x:c>
      <x:c r="AA40" s="31" t="str"/>
    </x:row>
    <x:row r="41">
      <x:c r="A41" s="31" t="str">
        <x:v>AR-040</x:v>
      </x:c>
      <x:c r="B41" s="31" t="n">
        <x:v>40</x:v>
      </x:c>
      <x:c r="C41" s="31" t="str">
        <x:v>Hoja1</x:v>
      </x:c>
      <x:c r="D41" s="31" t="n">
        <x:v>41</x:v>
      </x:c>
      <x:c r="E41" s="31" t="str">
        <x:v>Cra 40 #30-42 sur Barrio Santa Rita</x:v>
      </x:c>
      <x:c r="F41" s="31" t="str">
        <x:v>Bogotá D.C.</x:v>
      </x:c>
      <x:c r="G41" s="31" t="str">
        <x:v>Santa Rita</x:v>
      </x:c>
      <x:c r="H41" s="31" t="str"/>
      <x:c r="I41" s="31" t="str">
        <x:v>Rosa Fonseca</x:v>
      </x:c>
      <x:c r="J41" s="31" t="str">
        <x:v>German Alberto Guarin Arenas</x:v>
      </x:c>
      <x:c r="K41" s="31"/>
      <x:c r="L41" s="31"/>
      <x:c r="M41" s="31"/>
      <x:c r="N41" s="31" t="str">
        <x:v>German Alberto Guarin Arenas</x:v>
      </x:c>
      <x:c r="O41" s="31" t="str">
        <x:v>Andrea Guarin Arenas</x:v>
      </x:c>
      <x:c r="P41" s="31" t="str">
        <x:v>ACTIVE</x:v>
      </x:c>
      <x:c r="Q41" s="44" t="n">
        <x:v>740000</x:v>
      </x:c>
      <x:c r="R41" s="31" t="str">
        <x:v>Hoja 1 - Valor arrendatario</x:v>
      </x:c>
      <x:c r="S41" s="44" t="n">
        <x:v>666000</x:v>
      </x:c>
      <x:c r="T41" s="31" t="str">
        <x:v>Hoja 2 - PAGO A PROPIETARIOS</x:v>
      </x:c>
      <x:c r="U41" s="46" t="str">
        <x:v>2025-03-05</x:v>
      </x:c>
      <x:c r="V41" s="46"/>
      <x:c r="W41" s="31" t="str">
        <x:v>05/03/2025 $770.000 actual</x:v>
      </x:c>
      <x:c r="X41" s="31" t="str">
        <x:v>AC</x:v>
      </x:c>
      <x:c r="Y41" s="31" t="str">
        <x:v>PENDIENTE PAGO SIN SOPORTE</x:v>
      </x:c>
      <x:c r="Z41" s="41" t="b">
        <x:v>1</x:v>
      </x:c>
      <x:c r="AA41" s="31" t="str">
        <x:v>Valores distintos Hoja 1=740000 vs Hoja 2=770000 | Valor esperado 740000 no coincide con canon bruto 770000</x:v>
      </x:c>
    </x:row>
    <x:row r="42">
      <x:c r="A42" s="31" t="str">
        <x:v>AR-041</x:v>
      </x:c>
      <x:c r="B42" s="31" t="n">
        <x:v>41</x:v>
      </x:c>
      <x:c r="C42" s="31" t="str">
        <x:v>Hoja1</x:v>
      </x:c>
      <x:c r="D42" s="31" t="n">
        <x:v>42</x:v>
      </x:c>
      <x:c r="E42" s="31" t="str">
        <x:v>Calle 7 #7-24 sur B. S Cayetano</x:v>
      </x:c>
      <x:c r="F42" s="31" t="str">
        <x:v>Bogotá D.C.</x:v>
      </x:c>
      <x:c r="G42" s="31" t="str"/>
      <x:c r="H42" s="31" t="str"/>
      <x:c r="I42" s="31" t="str">
        <x:v>Dro. Trivino</x:v>
      </x:c>
      <x:c r="J42" s="31"/>
      <x:c r="K42" s="31"/>
      <x:c r="L42" s="31"/>
      <x:c r="M42" s="31"/>
      <x:c r="N42" s="31"/>
      <x:c r="O42" s="31"/>
      <x:c r="P42" s="31" t="str">
        <x:v>ACTIVE</x:v>
      </x:c>
      <x:c r="Q42" s="44"/>
      <x:c r="R42" s="31" t="str">
        <x:v>Sin valor confiable</x:v>
      </x:c>
      <x:c r="S42" s="44"/>
      <x:c r="T42" s="31"/>
      <x:c r="U42" s="46"/>
      <x:c r="V42" s="46"/>
      <x:c r="W42" s="31"/>
      <x:c r="X42" s="31"/>
      <x:c r="Y42" s="31" t="str">
        <x:v>Falta Chip</x:v>
      </x:c>
      <x:c r="Z42" s="41" t="b">
        <x:v>1</x:v>
      </x:c>
      <x:c r="AA42" s="31" t="str">
        <x:v>Falta arrendatario | Falta valor esperado</x:v>
      </x:c>
    </x:row>
    <x:row r="43">
      <x:c r="A43" s="31" t="str">
        <x:v>AR-042</x:v>
      </x:c>
      <x:c r="B43" s="31" t="n">
        <x:v>42</x:v>
      </x:c>
      <x:c r="C43" s="31" t="str">
        <x:v>Hoja1</x:v>
      </x:c>
      <x:c r="D43" s="31" t="n">
        <x:v>43</x:v>
      </x:c>
      <x:c r="E43" s="31" t="str">
        <x:v>Cra 12 D #24-52 sur Bodega 1 piso</x:v>
      </x:c>
      <x:c r="F43" s="31" t="str">
        <x:v>Bogotá D.C.</x:v>
      </x:c>
      <x:c r="G43" s="31" t="str"/>
      <x:c r="H43" s="31" t="str"/>
      <x:c r="I43" s="31" t="str">
        <x:v>Carlos Lavanderia</x:v>
      </x:c>
      <x:c r="J43" s="31" t="str">
        <x:v>Johan S. Martinez</x:v>
      </x:c>
      <x:c r="K43" s="31"/>
      <x:c r="L43" s="31"/>
      <x:c r="M43" s="31"/>
      <x:c r="N43" s="31" t="str">
        <x:v>Johan S. Martinez</x:v>
      </x:c>
      <x:c r="O43" s="31" t="str">
        <x:v>Diana Marcela Guzman y Ericsson Guzman M</x:v>
      </x:c>
      <x:c r="P43" s="31" t="str">
        <x:v>ACTIVE</x:v>
      </x:c>
      <x:c r="Q43" s="44" t="n">
        <x:v>1500000</x:v>
      </x:c>
      <x:c r="R43" s="31" t="str">
        <x:v>Hoja 1 - Valor arrendatario</x:v>
      </x:c>
      <x:c r="S43" s="44" t="n">
        <x:v>3000000</x:v>
      </x:c>
      <x:c r="T43" s="31" t="str">
        <x:v>Hoja 2 - PAGO A PROPIETARIOS</x:v>
      </x:c>
      <x:c r="U43" s="46" t="str">
        <x:v>2024-06-01</x:v>
      </x:c>
      <x:c r="V43" s="46"/>
      <x:c r="W43" s="31" t="str">
        <x:v>01/06/2024 $3.500.000 / SE PAGA $ 3.000.000 </x:v>
      </x:c>
      <x:c r="X43" s="31" t="str">
        <x:v>COMERCIAL</x:v>
      </x:c>
      <x:c r="Y43" s="31" t="str">
        <x:v>PAGO AGOSTO DE 2024 VERIFICAR DOS CONSIGNACIONES DE 1.5 Y OTRA DE 2.0</x:v>
      </x:c>
      <x:c r="Z43" s="41" t="b">
        <x:v>1</x:v>
      </x:c>
      <x:c r="AA43" s="31" t="str">
        <x:v>Valores distintos Hoja 1=1500000 vs Hoja 2=3500000 | Valor esperado 1500000 no coincide con canon bruto 3000000</x:v>
      </x:c>
    </x:row>
    <x:row r="44">
      <x:c r="A44" s="31" t="str">
        <x:v>AR-043</x:v>
      </x:c>
      <x:c r="B44" s="31" t="n">
        <x:v>43</x:v>
      </x:c>
      <x:c r="C44" s="31" t="str">
        <x:v>Hoja1</x:v>
      </x:c>
      <x:c r="D44" s="31" t="n">
        <x:v>44</x:v>
      </x:c>
      <x:c r="E44" s="31" t="str">
        <x:v>AC 22 sur #12B-44 Barrio Ciudad Jardin Localidad Antonio Nariño Apto 403</x:v>
      </x:c>
      <x:c r="F44" s="31" t="str">
        <x:v>Bogotá D.C.</x:v>
      </x:c>
      <x:c r="G44" s="31" t="str">
        <x:v>Ciudad Jardin</x:v>
      </x:c>
      <x:c r="H44" s="31" t="str">
        <x:v>Antonio Nariño Apto 403</x:v>
      </x:c>
      <x:c r="I44" s="31" t="str">
        <x:v>Jose Vicente Buitrago</x:v>
      </x:c>
      <x:c r="J44" s="31" t="str">
        <x:v>Jose Rafael Fuenmayor J</x:v>
      </x:c>
      <x:c r="K44" s="31"/>
      <x:c r="L44" s="31"/>
      <x:c r="M44" s="31"/>
      <x:c r="N44" s="31" t="str">
        <x:v>Jose Rafael Fuenmayor J</x:v>
      </x:c>
      <x:c r="O44" s="31" t="str">
        <x:v>Jose Daniel Aguilar Fuenmayor</x:v>
      </x:c>
      <x:c r="P44" s="31" t="str">
        <x:v>ACTIVE</x:v>
      </x:c>
      <x:c r="Q44" s="44" t="n">
        <x:v>600000</x:v>
      </x:c>
      <x:c r="R44" s="31" t="str">
        <x:v>Hoja 1 - Valor arrendatario</x:v>
      </x:c>
      <x:c r="S44" s="44"/>
      <x:c r="T44" s="31"/>
      <x:c r="U44" s="46" t="str">
        <x:v>2024-05-01</x:v>
      </x:c>
      <x:c r="V44" s="46"/>
      <x:c r="W44" s="31" t="str">
        <x:v>01/05/2024 $600.000</x:v>
      </x:c>
      <x:c r="X44" s="31" t="str">
        <x:v>NC</x:v>
      </x:c>
      <x:c r="Y44" s="31"/>
      <x:c r="Z44" s="41" t="b">
        <x:v>0</x:v>
      </x:c>
      <x:c r="AA44" s="31" t="str"/>
    </x:row>
    <x:row r="45">
      <x:c r="A45" s="31" t="str">
        <x:v>AR-044</x:v>
      </x:c>
      <x:c r="B45" s="31" t="n">
        <x:v>44</x:v>
      </x:c>
      <x:c r="C45" s="31" t="str">
        <x:v>Hoja1</x:v>
      </x:c>
      <x:c r="D45" s="31" t="n">
        <x:v>45</x:v>
      </x:c>
      <x:c r="E45" s="31" t="str">
        <x:v>Cra 12D #24-52 sur B.S Jose o L URIBE</x:v>
      </x:c>
      <x:c r="F45" s="31" t="str">
        <x:v>Bogotá D.C.</x:v>
      </x:c>
      <x:c r="G45" s="31" t="str"/>
      <x:c r="H45" s="31" t="str"/>
      <x:c r="I45" s="31" t="str">
        <x:v>Carlos Lavanderia</x:v>
      </x:c>
      <x:c r="J45" s="31" t="str">
        <x:v>Andres Antonio Apraez Vargas</x:v>
      </x:c>
      <x:c r="K45" s="31"/>
      <x:c r="L45" s="31"/>
      <x:c r="M45" s="31"/>
      <x:c r="N45" s="31" t="str">
        <x:v>Andres Antonio Apraez Vargas</x:v>
      </x:c>
      <x:c r="O45" s="31" t="str">
        <x:v>Virgilio Romero Granados y Diana Cristina Martinez Silva</x:v>
      </x:c>
      <x:c r="P45" s="31" t="str">
        <x:v>ACTIVE</x:v>
      </x:c>
      <x:c r="Q45" s="44" t="n">
        <x:v>1284000</x:v>
      </x:c>
      <x:c r="R45" s="31" t="str">
        <x:v>Hoja 1 - Valor arrendatario</x:v>
      </x:c>
      <x:c r="S45" s="44" t="n">
        <x:v>1155600</x:v>
      </x:c>
      <x:c r="T45" s="31" t="str">
        <x:v>Hoja 2 - PAGO A PROPIETARIOS</x:v>
      </x:c>
      <x:c r="U45" s="46" t="str">
        <x:v>2022-11-01</x:v>
      </x:c>
      <x:c r="V45" s="46"/>
      <x:c r="W45" s="31" t="str">
        <x:v>01/11/2022 $1.284.000 Actualizado</x:v>
      </x:c>
      <x:c r="X45" s="31" t="str">
        <x:v>Comercial</x:v>
      </x:c>
      <x:c r="Y45" s="31"/>
      <x:c r="Z45" s="41" t="b">
        <x:v>0</x:v>
      </x:c>
      <x:c r="AA45" s="31" t="str"/>
    </x:row>
    <x:row r="46">
      <x:c r="A46" s="31" t="str">
        <x:v>AR-045</x:v>
      </x:c>
      <x:c r="B46" s="31" t="n">
        <x:v>45</x:v>
      </x:c>
      <x:c r="C46" s="31" t="str">
        <x:v>Hoja1</x:v>
      </x:c>
      <x:c r="D46" s="31" t="n">
        <x:v>46</x:v>
      </x:c>
      <x:c r="E46" s="31" t="str">
        <x:v>Cra 27 #7-87 Barrio Ricaurte</x:v>
      </x:c>
      <x:c r="F46" s="31" t="str">
        <x:v>Bogotá D.C.</x:v>
      </x:c>
      <x:c r="G46" s="31" t="str">
        <x:v>Ricaurte</x:v>
      </x:c>
      <x:c r="H46" s="31" t="str"/>
      <x:c r="I46" s="31" t="str">
        <x:v>Esperanza y/o Manuel</x:v>
      </x:c>
      <x:c r="J46" s="31" t="str">
        <x:v>Miguel Alarcon Leon</x:v>
      </x:c>
      <x:c r="K46" s="31"/>
      <x:c r="L46" s="31"/>
      <x:c r="M46" s="31"/>
      <x:c r="N46" s="31" t="str">
        <x:v>Miguel Alarcon Leon</x:v>
      </x:c>
      <x:c r="O46" s="31" t="str">
        <x:v>Maria Aydee Leon Alfares</x:v>
      </x:c>
      <x:c r="P46" s="31" t="str">
        <x:v>ACTIVE</x:v>
      </x:c>
      <x:c r="Q46" s="44" t="n">
        <x:v>2700000</x:v>
      </x:c>
      <x:c r="R46" s="31" t="str">
        <x:v>Hoja 1 - Valor arrendatario</x:v>
      </x:c>
      <x:c r="S46" s="44" t="n">
        <x:v>2100000</x:v>
      </x:c>
      <x:c r="T46" s="31" t="str">
        <x:v>Hoja 2 - PAGO A PROPIETARIOS</x:v>
      </x:c>
      <x:c r="U46" s="46" t="str">
        <x:v>2018-02-01</x:v>
      </x:c>
      <x:c r="V46" s="46"/>
      <x:c r="W46" s="31" t="str">
        <x:v>01/02/2018 $2.700.000 se da $2.100.000</x:v>
      </x:c>
      <x:c r="X46" s="31" t="str">
        <x:v>Comercial</x:v>
      </x:c>
      <x:c r="Y46" s="31" t="str">
        <x:v>PENDIENTE PAGO  AL 08 DE AGOSTO DE 2024</x:v>
      </x:c>
      <x:c r="Z46" s="41" t="b">
        <x:v>0</x:v>
      </x:c>
      <x:c r="AA46" s="31" t="str"/>
    </x:row>
    <x:row r="47">
      <x:c r="A47" s="31" t="str">
        <x:v>AR-046</x:v>
      </x:c>
      <x:c r="B47" s="31" t="n">
        <x:v>46</x:v>
      </x:c>
      <x:c r="C47" s="31" t="str">
        <x:v>Hoja1</x:v>
      </x:c>
      <x:c r="D47" s="31" t="n">
        <x:v>47</x:v>
      </x:c>
      <x:c r="E47" s="31" t="str">
        <x:v>Cra 80 i #57 h-41 Apto 203 CLASS ROMA</x:v>
      </x:c>
      <x:c r="F47" s="31" t="str">
        <x:v>Bogotá D.C.</x:v>
      </x:c>
      <x:c r="G47" s="31" t="str"/>
      <x:c r="H47" s="31" t="str"/>
      <x:c r="I47" s="31" t="str">
        <x:v>Jose Vicente Buitrago</x:v>
      </x:c>
      <x:c r="J47" s="31" t="str">
        <x:v>Jhoan Nestor</x:v>
      </x:c>
      <x:c r="K47" s="31"/>
      <x:c r="L47" s="31"/>
      <x:c r="M47" s="31"/>
      <x:c r="N47" s="31" t="str">
        <x:v>Jhoan Nestor </x:v>
      </x:c>
      <x:c r="O47" s="31" t="str">
        <x:v>Jesus Caceres y Jhenny Kilary de la Caridad</x:v>
      </x:c>
      <x:c r="P47" s="31" t="str">
        <x:v>ACTIVE</x:v>
      </x:c>
      <x:c r="Q47" s="44" t="n">
        <x:v>500000</x:v>
      </x:c>
      <x:c r="R47" s="31" t="str">
        <x:v>Hoja 1 - Valor arrendatario</x:v>
      </x:c>
      <x:c r="S47" s="44"/>
      <x:c r="T47" s="31"/>
      <x:c r="U47" s="46" t="str">
        <x:v>2024-05-03</x:v>
      </x:c>
      <x:c r="V47" s="46"/>
      <x:c r="W47" s="31" t="str">
        <x:v>03/05/2024 $500.000 x 12 meses</x:v>
      </x:c>
      <x:c r="X47" s="31" t="str">
        <x:v>NC</x:v>
      </x:c>
      <x:c r="Y47" s="31"/>
      <x:c r="Z47" s="41" t="b">
        <x:v>0</x:v>
      </x:c>
      <x:c r="AA47" s="31" t="str"/>
    </x:row>
    <x:row r="48">
      <x:c r="A48" s="31" t="str">
        <x:v>AR-047</x:v>
      </x:c>
      <x:c r="B48" s="31" t="n">
        <x:v>47</x:v>
      </x:c>
      <x:c r="C48" s="31" t="str">
        <x:v>Hoja1</x:v>
      </x:c>
      <x:c r="D48" s="31" t="n">
        <x:v>48</x:v>
      </x:c>
      <x:c r="E48" s="31" t="str">
        <x:v>Calle 13 A #19-41 sur Aparta Estudio 204 Barrio Restrepo Localidad Antonio Nariño</x:v>
      </x:c>
      <x:c r="F48" s="31" t="str">
        <x:v>Bogotá D.C.</x:v>
      </x:c>
      <x:c r="G48" s="31" t="str">
        <x:v>Restrepo</x:v>
      </x:c>
      <x:c r="H48" s="31" t="str">
        <x:v>Antonio Nariño</x:v>
      </x:c>
      <x:c r="I48" s="31" t="str">
        <x:v>Jose Vicente Buitrago</x:v>
      </x:c>
      <x:c r="J48" s="31" t="str">
        <x:v>Litia Maria Arteaga</x:v>
      </x:c>
      <x:c r="K48" s="31"/>
      <x:c r="L48" s="31"/>
      <x:c r="M48" s="31"/>
      <x:c r="N48" s="31" t="str">
        <x:v>Litia Maria Arteaga</x:v>
      </x:c>
      <x:c r="O48" s="31"/>
      <x:c r="P48" s="31" t="str">
        <x:v>ACTIVE</x:v>
      </x:c>
      <x:c r="Q48" s="44"/>
      <x:c r="R48" s="31" t="str">
        <x:v>Sin valor confiable</x:v>
      </x:c>
      <x:c r="S48" s="44"/>
      <x:c r="T48" s="31"/>
      <x:c r="U48" s="46" t="str">
        <x:v>2024-06-12</x:v>
      </x:c>
      <x:c r="V48" s="46"/>
      <x:c r="W48" s="31" t="n">
        <x:v>45455</x:v>
      </x:c>
      <x:c r="X48" s="31" t="str">
        <x:v>NC</x:v>
      </x:c>
      <x:c r="Y48" s="31"/>
      <x:c r="Z48" s="41" t="b">
        <x:v>1</x:v>
      </x:c>
      <x:c r="AA48" s="31" t="str">
        <x:v>Falta valor esperado</x:v>
      </x:c>
    </x:row>
    <x:row r="49">
      <x:c r="A49" s="31" t="str">
        <x:v>AR-048</x:v>
      </x:c>
      <x:c r="B49" s="31" t="n">
        <x:v>48</x:v>
      </x:c>
      <x:c r="C49" s="31" t="str">
        <x:v>Hoja1</x:v>
      </x:c>
      <x:c r="D49" s="31" t="n">
        <x:v>49</x:v>
      </x:c>
      <x:c r="E49" s="31" t="str">
        <x:v>Cra 12D Bis #24-35 sur</x:v>
      </x:c>
      <x:c r="F49" s="31" t="str">
        <x:v>Bogotá D.C.</x:v>
      </x:c>
      <x:c r="G49" s="31" t="str"/>
      <x:c r="H49" s="31" t="str"/>
      <x:c r="I49" s="31" t="str">
        <x:v>Roberto Selis</x:v>
      </x:c>
      <x:c r="J49" s="31" t="str">
        <x:v>Blanca Yulieth Sabogal</x:v>
      </x:c>
      <x:c r="K49" s="31"/>
      <x:c r="L49" s="31"/>
      <x:c r="M49" s="31"/>
      <x:c r="N49" s="31" t="str">
        <x:v>Blanca Yulieth Sabogal</x:v>
      </x:c>
      <x:c r="O49" s="31" t="str">
        <x:v>Alba Milena Sabogal S Y Felix Carlos Sabogal Moreno</x:v>
      </x:c>
      <x:c r="P49" s="31" t="str">
        <x:v>ACTIVE</x:v>
      </x:c>
      <x:c r="Q49" s="44" t="n">
        <x:v>800000</x:v>
      </x:c>
      <x:c r="R49" s="31" t="str">
        <x:v>Hoja 1 - Valor arrendatario</x:v>
      </x:c>
      <x:c r="S49" s="44" t="n">
        <x:v>720000</x:v>
      </x:c>
      <x:c r="T49" s="31" t="str">
        <x:v>Hoja 2 - PAGO A PROPIETARIOS</x:v>
      </x:c>
      <x:c r="U49" s="46" t="str">
        <x:v>2015-02-01</x:v>
      </x:c>
      <x:c r="V49" s="46"/>
      <x:c r="W49" s="31" t="str">
        <x:v>01/02/2015 $800.000</x:v>
      </x:c>
      <x:c r="X49" s="31" t="str">
        <x:v>AC</x:v>
      </x:c>
      <x:c r="Y49" s="31" t="str">
        <x:v>PAGO AGOSTO 2024 / $ 800.000</x:v>
      </x:c>
      <x:c r="Z49" s="41" t="b">
        <x:v>0</x:v>
      </x:c>
      <x:c r="AA49" s="31" t="str"/>
    </x:row>
    <x:row r="50">
      <x:c r="A50" s="31" t="str">
        <x:v>AR-049</x:v>
      </x:c>
      <x:c r="B50" s="31" t="n">
        <x:v>49</x:v>
      </x:c>
      <x:c r="C50" s="31" t="str">
        <x:v>Hoja1</x:v>
      </x:c>
      <x:c r="D50" s="31" t="n">
        <x:v>50</x:v>
      </x:c>
      <x:c r="E50" s="31" t="str">
        <x:v>AC 22 sur #12B-44 Barrio Ciudad Jardin Localidad Antonio Nariño Apto 503</x:v>
      </x:c>
      <x:c r="F50" s="31" t="str">
        <x:v>Bogotá D.C.</x:v>
      </x:c>
      <x:c r="G50" s="31" t="str">
        <x:v>Ciudad Jardin</x:v>
      </x:c>
      <x:c r="H50" s="31" t="str">
        <x:v>Antonio Nariño Apto 503</x:v>
      </x:c>
      <x:c r="I50" s="31" t="str">
        <x:v>Jose Vicente Buitrago</x:v>
      </x:c>
      <x:c r="J50" s="31" t="str">
        <x:v>Luis Manuel Serdeño M</x:v>
      </x:c>
      <x:c r="K50" s="31"/>
      <x:c r="L50" s="31"/>
      <x:c r="M50" s="31"/>
      <x:c r="N50" s="31" t="str">
        <x:v>Luis Manuel Serdeño M</x:v>
      </x:c>
      <x:c r="O50" s="31"/>
      <x:c r="P50" s="31" t="str">
        <x:v>ACTIVE</x:v>
      </x:c>
      <x:c r="Q50" s="44" t="n">
        <x:v>500000</x:v>
      </x:c>
      <x:c r="R50" s="31" t="str">
        <x:v>Hoja 1 - Valor arrendatario</x:v>
      </x:c>
      <x:c r="S50" s="44"/>
      <x:c r="T50" s="31"/>
      <x:c r="U50" s="46" t="str">
        <x:v>2024-03-01</x:v>
      </x:c>
      <x:c r="V50" s="46"/>
      <x:c r="W50" s="31" t="str">
        <x:v>01/03/2024 $500.000</x:v>
      </x:c>
      <x:c r="X50" s="31" t="str">
        <x:v>NC</x:v>
      </x:c>
      <x:c r="Y50" s="31"/>
      <x:c r="Z50" s="41" t="b">
        <x:v>0</x:v>
      </x:c>
      <x:c r="AA50" s="31" t="str"/>
    </x:row>
    <x:row r="51">
      <x:c r="A51" s="31" t="str">
        <x:v>AR-050</x:v>
      </x:c>
      <x:c r="B51" s="31" t="n">
        <x:v>50</x:v>
      </x:c>
      <x:c r="C51" s="31" t="str">
        <x:v>Hoja1</x:v>
      </x:c>
      <x:c r="D51" s="31" t="n">
        <x:v>51</x:v>
      </x:c>
      <x:c r="E51" s="31" t="str">
        <x:v>Calle 47 #57H-36 Casa G Rincon de S Nicolas</x:v>
      </x:c>
      <x:c r="F51" s="31" t="str">
        <x:v>Bogotá D.C.</x:v>
      </x:c>
      <x:c r="G51" s="31" t="str"/>
      <x:c r="H51" s="31" t="str"/>
      <x:c r="I51" s="31" t="str">
        <x:v>Luis parra</x:v>
      </x:c>
      <x:c r="J51" s="31" t="str">
        <x:v>Jaime Santamaria Castro</x:v>
      </x:c>
      <x:c r="K51" s="31"/>
      <x:c r="L51" s="31"/>
      <x:c r="M51" s="31"/>
      <x:c r="N51" s="31" t="str">
        <x:v>Jaime Santamaria Castro</x:v>
      </x:c>
      <x:c r="O51" s="31" t="str">
        <x:v>Miriam Cleotilde Riveros Gutierrez y Edrigelio Muñoz Gutierrez</x:v>
      </x:c>
      <x:c r="P51" s="31" t="str">
        <x:v>ACTIVE</x:v>
      </x:c>
      <x:c r="Q51" s="44" t="n">
        <x:v>500000</x:v>
      </x:c>
      <x:c r="R51" s="31" t="str">
        <x:v>Hoja 1 - Valor arrendatario</x:v>
      </x:c>
      <x:c r="S51" s="44" t="n">
        <x:v>600000</x:v>
      </x:c>
      <x:c r="T51" s="31" t="str">
        <x:v>Hoja 2 - PAGO A PROPIETARIOS</x:v>
      </x:c>
      <x:c r="U51" s="46"/>
      <x:c r="V51" s="46"/>
      <x:c r="W51" s="31" t="str">
        <x:v>500 + ACTUALIZACIÓN $ 670.000 </x:v>
      </x:c>
      <x:c r="X51" s="31" t="str">
        <x:v>AC</x:v>
      </x:c>
      <x:c r="Y51" s="31" t="str">
        <x:v>PENDIENTE PAGO SIN SOPORTE</x:v>
      </x:c>
      <x:c r="Z51" s="41" t="b">
        <x:v>1</x:v>
      </x:c>
      <x:c r="AA51" s="31" t="str">
        <x:v>Valores distintos Hoja 1=500000 vs Hoja 2=670000 | Valor esperado 500000 no coincide con canon bruto 670000</x:v>
      </x:c>
    </x:row>
    <x:row r="52">
      <x:c r="A52" s="31" t="str">
        <x:v>AR-051</x:v>
      </x:c>
      <x:c r="B52" s="31" t="n">
        <x:v>51</x:v>
      </x:c>
      <x:c r="C52" s="31" t="str">
        <x:v>Hoja1</x:v>
      </x:c>
      <x:c r="D52" s="31" t="n">
        <x:v>52</x:v>
      </x:c>
      <x:c r="E52" s="31" t="str">
        <x:v>AC 22 sur #12B-44 Barrio Ciudad Jardin Localidad Antonio Nariño Apto 601</x:v>
      </x:c>
      <x:c r="F52" s="31" t="str">
        <x:v>Bogotá D.C.</x:v>
      </x:c>
      <x:c r="G52" s="31" t="str">
        <x:v>Ciudad Jardin</x:v>
      </x:c>
      <x:c r="H52" s="31" t="str">
        <x:v>Antonio Nariño Apto 601</x:v>
      </x:c>
      <x:c r="I52" s="31" t="str">
        <x:v>Jose Vicente Buitrago</x:v>
      </x:c>
      <x:c r="J52" s="31" t="str">
        <x:v>Laya Hidalgo</x:v>
      </x:c>
      <x:c r="K52" s="31"/>
      <x:c r="L52" s="31"/>
      <x:c r="M52" s="31"/>
      <x:c r="N52" s="31" t="str">
        <x:v>Laya Hidalgo </x:v>
      </x:c>
      <x:c r="O52" s="31" t="str">
        <x:v>Samuel Agriman</x:v>
      </x:c>
      <x:c r="P52" s="31" t="str">
        <x:v>ACTIVE</x:v>
      </x:c>
      <x:c r="Q52" s="44" t="n">
        <x:v>600000</x:v>
      </x:c>
      <x:c r="R52" s="31" t="str">
        <x:v>Hoja 1 - Valor arrendatario</x:v>
      </x:c>
      <x:c r="S52" s="44"/>
      <x:c r="T52" s="31"/>
      <x:c r="U52" s="46" t="str">
        <x:v>2024-04-01</x:v>
      </x:c>
      <x:c r="V52" s="46"/>
      <x:c r="W52" s="31" t="str">
        <x:v>01/04/2024 $600.000 x 12 meses</x:v>
      </x:c>
      <x:c r="X52" s="31" t="str">
        <x:v>NC</x:v>
      </x:c>
      <x:c r="Y52" s="31"/>
      <x:c r="Z52" s="41" t="b">
        <x:v>0</x:v>
      </x:c>
      <x:c r="AA52" s="31" t="str"/>
    </x:row>
    <x:row r="53">
      <x:c r="A53" s="31" t="str">
        <x:v>AR-052</x:v>
      </x:c>
      <x:c r="B53" s="31" t="n">
        <x:v>52</x:v>
      </x:c>
      <x:c r="C53" s="31" t="str">
        <x:v>Hoja1</x:v>
      </x:c>
      <x:c r="D53" s="31" t="n">
        <x:v>53</x:v>
      </x:c>
      <x:c r="E53" s="31" t="str">
        <x:v>AC 22 sur #12B-44 Barrio Ciudad Jardin Localidad Antonio Nariño Apto 304</x:v>
      </x:c>
      <x:c r="F53" s="31" t="str">
        <x:v>Bogotá D.C.</x:v>
      </x:c>
      <x:c r="G53" s="31" t="str">
        <x:v>Ciudad Jardin</x:v>
      </x:c>
      <x:c r="H53" s="31" t="str">
        <x:v>Antonio Nariño Apto 304</x:v>
      </x:c>
      <x:c r="I53" s="31" t="str">
        <x:v>Jose Vicente Buitrago</x:v>
      </x:c>
      <x:c r="J53" s="31" t="str">
        <x:v>Jesus Garcia Medina</x:v>
      </x:c>
      <x:c r="K53" s="31"/>
      <x:c r="L53" s="31"/>
      <x:c r="M53" s="31"/>
      <x:c r="N53" s="31" t="str">
        <x:v>Jesus Garcia Medina </x:v>
      </x:c>
      <x:c r="O53" s="31"/>
      <x:c r="P53" s="31" t="str">
        <x:v>ACTIVE</x:v>
      </x:c>
      <x:c r="Q53" s="44" t="n">
        <x:v>500000</x:v>
      </x:c>
      <x:c r="R53" s="31" t="str">
        <x:v>Hoja 1 - Valor arrendatario</x:v>
      </x:c>
      <x:c r="S53" s="44"/>
      <x:c r="T53" s="31"/>
      <x:c r="U53" s="46" t="str">
        <x:v>2022-03-01</x:v>
      </x:c>
      <x:c r="V53" s="46"/>
      <x:c r="W53" s="31" t="str">
        <x:v>01/03/2022 $500.000</x:v>
      </x:c>
      <x:c r="X53" s="31"/>
      <x:c r="Y53" s="31"/>
      <x:c r="Z53" s="41" t="b">
        <x:v>0</x:v>
      </x:c>
      <x:c r="AA53" s="31" t="str"/>
    </x:row>
    <x:row r="54">
      <x:c r="A54" s="31" t="str">
        <x:v>AR-053</x:v>
      </x:c>
      <x:c r="B54" s="31" t="n">
        <x:v>53</x:v>
      </x:c>
      <x:c r="C54" s="31" t="str">
        <x:v>Hoja1</x:v>
      </x:c>
      <x:c r="D54" s="31" t="n">
        <x:v>54</x:v>
      </x:c>
      <x:c r="E54" s="31" t="str">
        <x:v>AC 22 sur #12B-44 Barrio Ciudad Jardin Localidad Antonio Nariño Apto 401</x:v>
      </x:c>
      <x:c r="F54" s="31" t="str">
        <x:v>Bogotá D.C.</x:v>
      </x:c>
      <x:c r="G54" s="31" t="str">
        <x:v>Ciudad Jardin</x:v>
      </x:c>
      <x:c r="H54" s="31" t="str">
        <x:v>Antonio Nariño Apto 401</x:v>
      </x:c>
      <x:c r="I54" s="31" t="str">
        <x:v>Jose Vicente Buitrago</x:v>
      </x:c>
      <x:c r="J54" s="31"/>
      <x:c r="K54" s="31"/>
      <x:c r="L54" s="31"/>
      <x:c r="M54" s="31"/>
      <x:c r="N54" s="31"/>
      <x:c r="O54" s="31"/>
      <x:c r="P54" s="31" t="str">
        <x:v>ACTIVE</x:v>
      </x:c>
      <x:c r="Q54" s="44"/>
      <x:c r="R54" s="31" t="str">
        <x:v>Sin valor confiable</x:v>
      </x:c>
      <x:c r="S54" s="44"/>
      <x:c r="T54" s="31"/>
      <x:c r="U54" s="46"/>
      <x:c r="V54" s="46"/>
      <x:c r="W54" s="31"/>
      <x:c r="X54" s="31"/>
      <x:c r="Y54" s="31"/>
      <x:c r="Z54" s="41" t="b">
        <x:v>1</x:v>
      </x:c>
      <x:c r="AA54" s="31" t="str">
        <x:v>Falta arrendatario | Falta valor esperado</x:v>
      </x:c>
    </x:row>
    <x:row r="55">
      <x:c r="A55" s="31" t="str">
        <x:v>AR-054</x:v>
      </x:c>
      <x:c r="B55" s="31" t="n">
        <x:v>54</x:v>
      </x:c>
      <x:c r="C55" s="31" t="str">
        <x:v>Hoja1</x:v>
      </x:c>
      <x:c r="D55" s="31" t="n">
        <x:v>55</x:v>
      </x:c>
      <x:c r="E55" s="31" t="str">
        <x:v>AC 22 sur #12B-44 Barrio Ciudad Jardin Localidad Antonio Nariño Apto 306</x:v>
      </x:c>
      <x:c r="F55" s="31" t="str">
        <x:v>Bogotá D.C.</x:v>
      </x:c>
      <x:c r="G55" s="31" t="str">
        <x:v>Ciudad Jardin</x:v>
      </x:c>
      <x:c r="H55" s="31" t="str">
        <x:v>Antonio Nariño Apto 306</x:v>
      </x:c>
      <x:c r="I55" s="31" t="str">
        <x:v>Jose Vicente Buitrago</x:v>
      </x:c>
      <x:c r="J55" s="31" t="str">
        <x:v>Diego Iglesias</x:v>
      </x:c>
      <x:c r="K55" s="31"/>
      <x:c r="L55" s="31"/>
      <x:c r="M55" s="31"/>
      <x:c r="N55" s="31" t="str">
        <x:v>Diego Iglesias</x:v>
      </x:c>
      <x:c r="O55" s="31"/>
      <x:c r="P55" s="31" t="str">
        <x:v>ACTIVE</x:v>
      </x:c>
      <x:c r="Q55" s="44" t="n">
        <x:v>450000</x:v>
      </x:c>
      <x:c r="R55" s="31" t="str">
        <x:v>Hoja 1 - Valor arrendatario</x:v>
      </x:c>
      <x:c r="S55" s="44"/>
      <x:c r="T55" s="31"/>
      <x:c r="U55" s="46" t="str">
        <x:v>2022-09-06</x:v>
      </x:c>
      <x:c r="V55" s="46"/>
      <x:c r="W55" s="31" t="n">
        <x:v>44810</x:v>
      </x:c>
      <x:c r="X55" s="31" t="str">
        <x:v>NC</x:v>
      </x:c>
      <x:c r="Y55" s="31"/>
      <x:c r="Z55" s="41" t="b">
        <x:v>0</x:v>
      </x:c>
      <x:c r="AA55" s="31" t="str"/>
    </x:row>
    <x:row r="56">
      <x:c r="A56" s="31" t="str">
        <x:v>AR-055</x:v>
      </x:c>
      <x:c r="B56" s="31" t="n">
        <x:v>55</x:v>
      </x:c>
      <x:c r="C56" s="31" t="str">
        <x:v>Hoja1</x:v>
      </x:c>
      <x:c r="D56" s="31" t="n">
        <x:v>56</x:v>
      </x:c>
      <x:c r="E56" s="31" t="str">
        <x:v>Cra 24 #45C -60 Palermo l.c Chapinero</x:v>
      </x:c>
      <x:c r="F56" s="31" t="str">
        <x:v>Bogotá D.C.</x:v>
      </x:c>
      <x:c r="G56" s="31" t="str"/>
      <x:c r="H56" s="31" t="str"/>
      <x:c r="I56" s="31" t="str">
        <x:v>Patricia Diaz / Jaime Diaz</x:v>
      </x:c>
      <x:c r="J56" s="31" t="str">
        <x:v>Andres Felipe Forero (tacos)</x:v>
      </x:c>
      <x:c r="K56" s="31"/>
      <x:c r="L56" s="31"/>
      <x:c r="M56" s="31"/>
      <x:c r="N56" s="31" t="str">
        <x:v>Andres Felipe Forero (tacos)</x:v>
      </x:c>
      <x:c r="O56" s="31" t="str">
        <x:v>Jorge Enrique Forero Cardenas y Alba Noris Diaz Cortez</x:v>
      </x:c>
      <x:c r="P56" s="31" t="str">
        <x:v>ACTIVE</x:v>
      </x:c>
      <x:c r="Q56" s="44" t="n">
        <x:v>1760000</x:v>
      </x:c>
      <x:c r="R56" s="31" t="str">
        <x:v>Hoja 1 - Valor arrendatario</x:v>
      </x:c>
      <x:c r="S56" s="44" t="n">
        <x:v>1480000</x:v>
      </x:c>
      <x:c r="T56" s="31" t="str">
        <x:v>Hoja 2 - PAGO A PROPIETARIOS</x:v>
      </x:c>
      <x:c r="U56" s="46" t="str">
        <x:v>2022-10-01</x:v>
      </x:c>
      <x:c r="V56" s="46"/>
      <x:c r="W56" s="31" t="str">
        <x:v>01/10/2022 $1.600.000 / actualizado $ 1.760.000</x:v>
      </x:c>
      <x:c r="X56" s="31" t="str">
        <x:v>NC COMERCIAL</x:v>
      </x:c>
      <x:c r="Y56" s="31" t="str">
        <x:v>PAGO AGOSTO DE 2024 / $ 1.760.000</x:v>
      </x:c>
      <x:c r="Z56" s="41" t="b">
        <x:v>0</x:v>
      </x:c>
      <x:c r="AA56" s="31" t="str"/>
    </x:row>
    <x:row r="57">
      <x:c r="A57" s="31" t="str">
        <x:v>AR-056</x:v>
      </x:c>
      <x:c r="B57" s="31" t="n">
        <x:v>56</x:v>
      </x:c>
      <x:c r="C57" s="31" t="str">
        <x:v>Hoja1</x:v>
      </x:c>
      <x:c r="D57" s="31" t="n">
        <x:v>57</x:v>
      </x:c>
      <x:c r="E57" s="31" t="str">
        <x:v>Calle 13 A #19-41 sur Aparta Estudio 101 Barrio Restrepo Localidad Antonio Nariño</x:v>
      </x:c>
      <x:c r="F57" s="31" t="str">
        <x:v>Bogotá D.C.</x:v>
      </x:c>
      <x:c r="G57" s="31" t="str">
        <x:v>Restrepo</x:v>
      </x:c>
      <x:c r="H57" s="31" t="str">
        <x:v>Antonio Nariño</x:v>
      </x:c>
      <x:c r="I57" s="31" t="str">
        <x:v>Jose Vicente Buitrago</x:v>
      </x:c>
      <x:c r="J57" s="31" t="str">
        <x:v>ingrid Yamilet Gonzalez (tia de la mona del 102 c. jardin)</x:v>
      </x:c>
      <x:c r="K57" s="31"/>
      <x:c r="L57" s="31"/>
      <x:c r="M57" s="31"/>
      <x:c r="N57" s="31" t="str">
        <x:v>ingrid Yamilet Gonzalez (tia de la mona del 102 c. jardin)</x:v>
      </x:c>
      <x:c r="O57" s="31"/>
      <x:c r="P57" s="31" t="str">
        <x:v>ACTIVE</x:v>
      </x:c>
      <x:c r="Q57" s="44" t="n">
        <x:v>400000</x:v>
      </x:c>
      <x:c r="R57" s="31" t="str">
        <x:v>Hoja 1 - Valor arrendatario</x:v>
      </x:c>
      <x:c r="S57" s="44"/>
      <x:c r="T57" s="31"/>
      <x:c r="U57" s="46" t="str">
        <x:v>2024-05-01</x:v>
      </x:c>
      <x:c r="V57" s="46"/>
      <x:c r="W57" s="31" t="str">
        <x:v>01/05/2024 $400.000</x:v>
      </x:c>
      <x:c r="X57" s="31"/>
      <x:c r="Y57" s="31"/>
      <x:c r="Z57" s="41" t="b">
        <x:v>0</x:v>
      </x:c>
      <x:c r="AA57" s="31" t="str"/>
    </x:row>
    <x:row r="58">
      <x:c r="A58" s="31" t="str">
        <x:v>AR-057</x:v>
      </x:c>
      <x:c r="B58" s="31" t="n">
        <x:v>57</x:v>
      </x:c>
      <x:c r="C58" s="31" t="str">
        <x:v>Hoja1</x:v>
      </x:c>
      <x:c r="D58" s="31" t="n">
        <x:v>58</x:v>
      </x:c>
      <x:c r="E58" s="31" t="str">
        <x:v>AC 22 sur #12B-44 Barrio Ciudad Jardin Localidad Antonio Nariño Apto 401</x:v>
      </x:c>
      <x:c r="F58" s="31" t="str">
        <x:v>Bogotá D.C.</x:v>
      </x:c>
      <x:c r="G58" s="31" t="str">
        <x:v>Ciudad Jardin</x:v>
      </x:c>
      <x:c r="H58" s="31" t="str">
        <x:v>Antonio Nariño Apto 401</x:v>
      </x:c>
      <x:c r="I58" s="31" t="str">
        <x:v>Jose Vicente Buitrago</x:v>
      </x:c>
      <x:c r="J58" s="31" t="str">
        <x:v>Jesus Alexander Solarte</x:v>
      </x:c>
      <x:c r="K58" s="31"/>
      <x:c r="L58" s="31"/>
      <x:c r="M58" s="31"/>
      <x:c r="N58" s="31" t="str">
        <x:v>Jesus Alexander Solarte</x:v>
      </x:c>
      <x:c r="O58" s="31" t="str">
        <x:v>Jose Arturo Caceres</x:v>
      </x:c>
      <x:c r="P58" s="31" t="str">
        <x:v>ACTIVE</x:v>
      </x:c>
      <x:c r="Q58" s="44" t="n">
        <x:v>500000</x:v>
      </x:c>
      <x:c r="R58" s="31" t="str">
        <x:v>Hoja 1 - Valor arrendatario</x:v>
      </x:c>
      <x:c r="S58" s="44"/>
      <x:c r="T58" s="31"/>
      <x:c r="U58" s="46" t="str">
        <x:v>2024-04-01</x:v>
      </x:c>
      <x:c r="V58" s="46"/>
      <x:c r="W58" s="31" t="str">
        <x:v>01/04/2024 $500.000</x:v>
      </x:c>
      <x:c r="X58" s="31"/>
      <x:c r="Y58" s="31"/>
      <x:c r="Z58" s="41" t="b">
        <x:v>0</x:v>
      </x:c>
      <x:c r="AA58" s="31" t="str"/>
    </x:row>
    <x:row r="59">
      <x:c r="A59" s="31" t="str">
        <x:v>AR-058</x:v>
      </x:c>
      <x:c r="B59" s="31" t="n">
        <x:v>58</x:v>
      </x:c>
      <x:c r="C59" s="31" t="str">
        <x:v>Hoja1</x:v>
      </x:c>
      <x:c r="D59" s="31" t="n">
        <x:v>59</x:v>
      </x:c>
      <x:c r="E59" s="31" t="str">
        <x:v>Calle 135 A # 9A-20 Apto 103 B. Lisboa Country Usaquen</x:v>
      </x:c>
      <x:c r="F59" s="31" t="str">
        <x:v>Bogotá D.C.</x:v>
      </x:c>
      <x:c r="G59" s="31" t="str"/>
      <x:c r="H59" s="31" t="str"/>
      <x:c r="I59" s="31" t="str">
        <x:v>Jose Vicente Buitrago</x:v>
      </x:c>
      <x:c r="J59" s="31" t="str">
        <x:v>Eduardo Jose Jaimes Chacon</x:v>
      </x:c>
      <x:c r="K59" s="31"/>
      <x:c r="L59" s="31"/>
      <x:c r="M59" s="31"/>
      <x:c r="N59" s="31" t="str">
        <x:v>Eduardo Jose Jaimes Chacon</x:v>
      </x:c>
      <x:c r="O59" s="31"/>
      <x:c r="P59" s="31" t="str">
        <x:v>ACTIVE</x:v>
      </x:c>
      <x:c r="Q59" s="44" t="n">
        <x:v>750000</x:v>
      </x:c>
      <x:c r="R59" s="31" t="str">
        <x:v>Hoja 1 - Valor arrendatario</x:v>
      </x:c>
      <x:c r="S59" s="44"/>
      <x:c r="T59" s="31"/>
      <x:c r="U59" s="46" t="str">
        <x:v>2020-12-01</x:v>
      </x:c>
      <x:c r="V59" s="46"/>
      <x:c r="W59" s="31" t="str">
        <x:v>01/12/2020 $750.000</x:v>
      </x:c>
      <x:c r="X59" s="31" t="str">
        <x:v>AC</x:v>
      </x:c>
      <x:c r="Y59" s="31" t="str">
        <x:v>Esta Pagando $</x:v>
      </x:c>
      <x:c r="Z59" s="41" t="b">
        <x:v>0</x:v>
      </x:c>
      <x:c r="AA59" s="31" t="str"/>
    </x:row>
    <x:row r="60">
      <x:c r="A60" s="31" t="str">
        <x:v>AR-059</x:v>
      </x:c>
      <x:c r="B60" s="31" t="n">
        <x:v>59</x:v>
      </x:c>
      <x:c r="C60" s="31" t="str">
        <x:v>Hoja1</x:v>
      </x:c>
      <x:c r="D60" s="31" t="n">
        <x:v>60</x:v>
      </x:c>
      <x:c r="E60" s="31" t="str">
        <x:v>Cra 17 #18-49 sur Restrepo Localidad Antonio Nariño</x:v>
      </x:c>
      <x:c r="F60" s="31" t="str">
        <x:v>Bogotá D.C.</x:v>
      </x:c>
      <x:c r="G60" s="31" t="str"/>
      <x:c r="H60" s="31" t="str">
        <x:v>Antonio Nariño</x:v>
      </x:c>
      <x:c r="I60" s="31" t="str">
        <x:v>Serafin Mariño</x:v>
      </x:c>
      <x:c r="J60" s="31" t="str">
        <x:v>Jonathan Steven Casteblanco Arenas</x:v>
      </x:c>
      <x:c r="K60" s="31"/>
      <x:c r="L60" s="31"/>
      <x:c r="M60" s="31"/>
      <x:c r="N60" s="31" t="str">
        <x:v>Jonathan Steven Casteblanco Arenas</x:v>
      </x:c>
      <x:c r="O60" s="31" t="str">
        <x:v>Emilia Esperanza Urrea y Jose Antonio Casteblanco Ortiz</x:v>
      </x:c>
      <x:c r="P60" s="31" t="str">
        <x:v>ACTIVE</x:v>
      </x:c>
      <x:c r="Q60" s="44" t="n">
        <x:v>960000</x:v>
      </x:c>
      <x:c r="R60" s="31" t="str">
        <x:v>Hoja 1 - Valor arrendatario</x:v>
      </x:c>
      <x:c r="S60" s="44" t="n">
        <x:v>800000</x:v>
      </x:c>
      <x:c r="T60" s="31" t="str">
        <x:v>Hoja 2 - PAGO A PROPIETARIOS</x:v>
      </x:c>
      <x:c r="U60" s="46" t="str">
        <x:v>2022-07-01</x:v>
      </x:c>
      <x:c r="V60" s="46"/>
      <x:c r="W60" s="31" t="str">
        <x:v>01/07/2022 $800.000 / ACTUAL $ 960.000 (PAGA 960.000 EN 10 CUOTAS) </x:v>
      </x:c>
      <x:c r="X60" s="31" t="str">
        <x:v>paga 07/2025 $1.060.000</x:v>
      </x:c>
      <x:c r="Y60" s="31" t="str">
        <x:v>PAGO AGOSTO 2024 / 1.060.000</x:v>
      </x:c>
      <x:c r="Z60" s="41" t="b">
        <x:v>1</x:v>
      </x:c>
      <x:c r="AA60" s="31" t="str">
        <x:v>Valores distintos Hoja 1=960000 vs Hoja 2=1060000</x:v>
      </x:c>
    </x:row>
    <x:row r="61">
      <x:c r="A61" s="31" t="str">
        <x:v>AR-060</x:v>
      </x:c>
      <x:c r="B61" s="31" t="n">
        <x:v>60</x:v>
      </x:c>
      <x:c r="C61" s="31" t="str">
        <x:v>Hoja1</x:v>
      </x:c>
      <x:c r="D61" s="31" t="n">
        <x:v>61</x:v>
      </x:c>
      <x:c r="E61" s="31" t="str">
        <x:v>AC 22 sur #12B-44 Barrio Ciudad Jardin Localidad Antonio Nariño Apto 301</x:v>
      </x:c>
      <x:c r="F61" s="31" t="str">
        <x:v>Bogotá D.C.</x:v>
      </x:c>
      <x:c r="G61" s="31" t="str">
        <x:v>Ciudad Jardin</x:v>
      </x:c>
      <x:c r="H61" s="31" t="str">
        <x:v>Antonio Nariño Apto 301</x:v>
      </x:c>
      <x:c r="I61" s="31" t="str">
        <x:v>Jose Vicente Buitrago</x:v>
      </x:c>
      <x:c r="J61" s="31" t="str">
        <x:v>Juan Camilo Martinez Campo (esta preaviso por mora)</x:v>
      </x:c>
      <x:c r="K61" s="31"/>
      <x:c r="L61" s="31"/>
      <x:c r="M61" s="31"/>
      <x:c r="N61" s="31" t="str">
        <x:v>Juan Camilo Martinez Campo (esta preaviso por mora)</x:v>
      </x:c>
      <x:c r="O61" s="31"/>
      <x:c r="P61" s="31" t="str">
        <x:v>PRENOTICE</x:v>
      </x:c>
      <x:c r="Q61" s="44" t="n">
        <x:v>500000</x:v>
      </x:c>
      <x:c r="R61" s="31" t="str">
        <x:v>Hoja 1 - Valor arrendatario</x:v>
      </x:c>
      <x:c r="S61" s="44"/>
      <x:c r="T61" s="31"/>
      <x:c r="U61" s="46" t="str">
        <x:v>2018-07-07</x:v>
      </x:c>
      <x:c r="V61" s="46"/>
      <x:c r="W61" s="31" t="str">
        <x:v>07/07/2018 $400.000</x:v>
      </x:c>
      <x:c r="X61" s="31"/>
      <x:c r="Y61" s="31"/>
      <x:c r="Z61" s="41" t="b">
        <x:v>1</x:v>
      </x:c>
      <x:c r="AA61" s="31" t="str">
        <x:v>Valor esperado 500000 no coincide con canon bruto 400000 | Estado inferido: PRENOTICE</x:v>
      </x:c>
    </x:row>
    <x:row r="62">
      <x:c r="A62" s="31" t="str">
        <x:v>AR-061</x:v>
      </x:c>
      <x:c r="B62" s="31" t="n">
        <x:v>61</x:v>
      </x:c>
      <x:c r="C62" s="31" t="str">
        <x:v>Hoja1</x:v>
      </x:c>
      <x:c r="D62" s="31" t="n">
        <x:v>62</x:v>
      </x:c>
      <x:c r="E62" s="31" t="str">
        <x:v>Cra 12D Bis #24-35 sur B.S Jose L. Uribe</x:v>
      </x:c>
      <x:c r="F62" s="31" t="str">
        <x:v>Bogotá D.C.</x:v>
      </x:c>
      <x:c r="G62" s="31" t="str"/>
      <x:c r="H62" s="31" t="str"/>
      <x:c r="I62" s="31" t="str">
        <x:v>Roberto Selis</x:v>
      </x:c>
      <x:c r="J62" s="31" t="str">
        <x:v>Brayan David Herrera Gomez</x:v>
      </x:c>
      <x:c r="K62" s="31"/>
      <x:c r="L62" s="31"/>
      <x:c r="M62" s="31"/>
      <x:c r="N62" s="31" t="str">
        <x:v>Brayan David Herrera Gomez</x:v>
      </x:c>
      <x:c r="O62" s="31" t="str">
        <x:v>Jenny Patricia Gomez</x:v>
      </x:c>
      <x:c r="P62" s="31" t="str">
        <x:v>ACTIVE</x:v>
      </x:c>
      <x:c r="Q62" s="44" t="n">
        <x:v>850000</x:v>
      </x:c>
      <x:c r="R62" s="31" t="str">
        <x:v>Hoja 1 - Valor arrendatario</x:v>
      </x:c>
      <x:c r="S62" s="44" t="n">
        <x:v>765000</x:v>
      </x:c>
      <x:c r="T62" s="31" t="str">
        <x:v>Hoja 2 - PAGO A PROPIETARIOS</x:v>
      </x:c>
      <x:c r="U62" s="46" t="str">
        <x:v>2024-07-01</x:v>
      </x:c>
      <x:c r="V62" s="46"/>
      <x:c r="W62" s="31" t="str">
        <x:v>01/07/2024 $850.000</x:v>
      </x:c>
      <x:c r="X62" s="31"/>
      <x:c r="Y62" s="31" t="str">
        <x:v>COMERCIAL LOCAL</x:v>
      </x:c>
      <x:c r="Z62" s="41" t="b">
        <x:v>0</x:v>
      </x:c>
      <x:c r="AA62" s="31" t="str"/>
    </x:row>
    <x:row r="63">
      <x:c r="A63" s="31" t="str">
        <x:v>AR-062</x:v>
      </x:c>
      <x:c r="B63" s="31" t="n">
        <x:v>62</x:v>
      </x:c>
      <x:c r="C63" s="31" t="str">
        <x:v>Hoja1</x:v>
      </x:c>
      <x:c r="D63" s="31" t="n">
        <x:v>63</x:v>
      </x:c>
      <x:c r="E63" s="31" t="str">
        <x:v>AC 22 sur #12B-44 Barrio Ciudad Jardin Localidad Antonio Nariño Apto 501</x:v>
      </x:c>
      <x:c r="F63" s="31" t="str">
        <x:v>Bogotá D.C.</x:v>
      </x:c>
      <x:c r="G63" s="31" t="str">
        <x:v>Ciudad Jardin</x:v>
      </x:c>
      <x:c r="H63" s="31" t="str">
        <x:v>Antonio Nariño Apto 501</x:v>
      </x:c>
      <x:c r="I63" s="31" t="str">
        <x:v>Jose Vicente Buitrago</x:v>
      </x:c>
      <x:c r="J63" s="31" t="str">
        <x:v>Herson Quintero</x:v>
      </x:c>
      <x:c r="K63" s="31"/>
      <x:c r="L63" s="31"/>
      <x:c r="M63" s="31"/>
      <x:c r="N63" s="31" t="str">
        <x:v>Herson Quintero </x:v>
      </x:c>
      <x:c r="O63" s="31"/>
      <x:c r="P63" s="31" t="str">
        <x:v>ACTIVE</x:v>
      </x:c>
      <x:c r="Q63" s="44" t="n">
        <x:v>500000</x:v>
      </x:c>
      <x:c r="R63" s="31" t="str">
        <x:v>Hoja 1 - Valor arrendatario</x:v>
      </x:c>
      <x:c r="S63" s="44"/>
      <x:c r="T63" s="31"/>
      <x:c r="U63" s="46" t="str">
        <x:v>2019-05-01</x:v>
      </x:c>
      <x:c r="V63" s="46"/>
      <x:c r="W63" s="31" t="str">
        <x:v>01/05/2019 $500.000</x:v>
      </x:c>
      <x:c r="X63" s="31" t="str">
        <x:v>AC</x:v>
      </x:c>
      <x:c r="Y63" s="31"/>
      <x:c r="Z63" s="41" t="b">
        <x:v>0</x:v>
      </x:c>
      <x:c r="AA63" s="31" t="str"/>
    </x:row>
    <x:row r="64">
      <x:c r="A64" s="31" t="str">
        <x:v>AR-063</x:v>
      </x:c>
      <x:c r="B64" s="31" t="n">
        <x:v>63</x:v>
      </x:c>
      <x:c r="C64" s="31" t="str">
        <x:v>Hoja1</x:v>
      </x:c>
      <x:c r="D64" s="31" t="n">
        <x:v>64</x:v>
      </x:c>
      <x:c r="E64" s="31" t="str">
        <x:v>Calle 54 A #27-61 Sur Barrio San Vicente Ferrer</x:v>
      </x:c>
      <x:c r="F64" s="31" t="str">
        <x:v>Bogotá D.C.</x:v>
      </x:c>
      <x:c r="G64" s="31" t="str">
        <x:v>San Vicente Ferrer</x:v>
      </x:c>
      <x:c r="H64" s="31" t="str"/>
      <x:c r="I64" s="31" t="str">
        <x:v>Roberto Selis</x:v>
      </x:c>
      <x:c r="J64" s="31"/>
      <x:c r="K64" s="31"/>
      <x:c r="L64" s="31"/>
      <x:c r="M64" s="31"/>
      <x:c r="N64" s="31"/>
      <x:c r="O64" s="31"/>
      <x:c r="P64" s="31" t="str">
        <x:v>ACTIVE</x:v>
      </x:c>
      <x:c r="Q64" s="44" t="n">
        <x:v>1400000</x:v>
      </x:c>
      <x:c r="R64" s="31" t="str">
        <x:v>Hoja 1 - Valor arrendatario</x:v>
      </x:c>
      <x:c r="S64" s="44"/>
      <x:c r="T64" s="31"/>
      <x:c r="U64" s="46"/>
      <x:c r="V64" s="46"/>
      <x:c r="W64" s="31"/>
      <x:c r="X64" s="31"/>
      <x:c r="Y64" s="31"/>
      <x:c r="Z64" s="41" t="b">
        <x:v>1</x:v>
      </x:c>
      <x:c r="AA64" s="31" t="str">
        <x:v>Falta arrendatario</x:v>
      </x:c>
    </x:row>
    <x:row r="65">
      <x:c r="A65" s="31" t="str">
        <x:v>AR-064</x:v>
      </x:c>
      <x:c r="B65" s="31" t="n">
        <x:v>64</x:v>
      </x:c>
      <x:c r="C65" s="31" t="str">
        <x:v>Hoja1</x:v>
      </x:c>
      <x:c r="D65" s="31" t="n">
        <x:v>65</x:v>
      </x:c>
      <x:c r="E65" s="31" t="str">
        <x:v>Cra 12 B BIS #24-35 sur Barrio San Jose</x:v>
      </x:c>
      <x:c r="F65" s="31" t="str">
        <x:v>Bogotá D.C.</x:v>
      </x:c>
      <x:c r="G65" s="31" t="str">
        <x:v>San Jose</x:v>
      </x:c>
      <x:c r="H65" s="31" t="str"/>
      <x:c r="I65" s="31" t="str">
        <x:v>Roberto Selis</x:v>
      </x:c>
      <x:c r="J65" s="31"/>
      <x:c r="K65" s="31"/>
      <x:c r="L65" s="31"/>
      <x:c r="M65" s="31"/>
      <x:c r="N65" s="31"/>
      <x:c r="O65" s="31"/>
      <x:c r="P65" s="31" t="str">
        <x:v>ACTIVE</x:v>
      </x:c>
      <x:c r="Q65" s="44" t="n">
        <x:v>1180000</x:v>
      </x:c>
      <x:c r="R65" s="31" t="str">
        <x:v>Hoja 1 - Valor arrendatario</x:v>
      </x:c>
      <x:c r="S65" s="44" t="n">
        <x:v>1180000</x:v>
      </x:c>
      <x:c r="T65" s="31" t="str">
        <x:v>Hoja 1 propietarios fila 98</x:v>
      </x:c>
      <x:c r="U65" s="46"/>
      <x:c r="V65" s="46"/>
      <x:c r="W65" s="31"/>
      <x:c r="X65" s="31"/>
      <x:c r="Y65" s="31"/>
      <x:c r="Z65" s="41" t="b">
        <x:v>1</x:v>
      </x:c>
      <x:c r="AA65" s="31" t="str">
        <x:v>Falta arrendatario</x:v>
      </x:c>
    </x:row>
    <x:row r="66">
      <x:c r="A66" s="31" t="str">
        <x:v>AR-065</x:v>
      </x:c>
      <x:c r="B66" s="31" t="n">
        <x:v>65</x:v>
      </x:c>
      <x:c r="C66" s="31" t="str">
        <x:v>Hoja1</x:v>
      </x:c>
      <x:c r="D66" s="31" t="n">
        <x:v>66</x:v>
      </x:c>
      <x:c r="E66" s="31" t="str">
        <x:v>Calle 18 sur #16A-21</x:v>
      </x:c>
      <x:c r="F66" s="31" t="str">
        <x:v>Bogotá D.C.</x:v>
      </x:c>
      <x:c r="G66" s="31" t="str"/>
      <x:c r="H66" s="31" t="str"/>
      <x:c r="I66" s="31" t="str">
        <x:v>Sergio Javier Vallejo Aya</x:v>
      </x:c>
      <x:c r="J66" s="31"/>
      <x:c r="K66" s="31"/>
      <x:c r="L66" s="31"/>
      <x:c r="M66" s="31"/>
      <x:c r="N66" s="31"/>
      <x:c r="O66" s="31"/>
      <x:c r="P66" s="31" t="str">
        <x:v>ACTIVE</x:v>
      </x:c>
      <x:c r="Q66" s="44"/>
      <x:c r="R66" s="31" t="str">
        <x:v>Sin valor confiable</x:v>
      </x:c>
      <x:c r="S66" s="44"/>
      <x:c r="T66" s="31"/>
      <x:c r="U66" s="46"/>
      <x:c r="V66" s="46"/>
      <x:c r="W66" s="31"/>
      <x:c r="X66" s="31" t="str">
        <x:v>LOCAL COMERCIAL</x:v>
      </x:c>
      <x:c r="Y66" s="31"/>
      <x:c r="Z66" s="41" t="b">
        <x:v>1</x:v>
      </x:c>
      <x:c r="AA66" s="31" t="str">
        <x:v>Falta arrendatario | Falta valor esperado</x:v>
      </x:c>
    </x:row>
    <x:row r="67">
      <x:c r="A67" s="31" t="str">
        <x:v>AR-066</x:v>
      </x:c>
      <x:c r="B67" s="31" t="n">
        <x:v>66</x:v>
      </x:c>
      <x:c r="C67" s="31" t="str">
        <x:v>Hoja1</x:v>
      </x:c>
      <x:c r="D67" s="31" t="n">
        <x:v>67</x:v>
      </x:c>
      <x:c r="E67" s="31" t="str">
        <x:v>Carrera 1B #12 C-69 Soacha</x:v>
      </x:c>
      <x:c r="F67" s="31" t="str">
        <x:v>Bogotá D.C.</x:v>
      </x:c>
      <x:c r="G67" s="31" t="str"/>
      <x:c r="H67" s="31" t="str"/>
      <x:c r="I67" s="31" t="str">
        <x:v>Jaime Cruz</x:v>
      </x:c>
      <x:c r="J67" s="31"/>
      <x:c r="K67" s="31"/>
      <x:c r="L67" s="31"/>
      <x:c r="M67" s="31"/>
      <x:c r="N67" s="31"/>
      <x:c r="O67" s="31"/>
      <x:c r="P67" s="31" t="str">
        <x:v>ACTIVE</x:v>
      </x:c>
      <x:c r="Q67" s="44"/>
      <x:c r="R67" s="31" t="str">
        <x:v>Sin valor confiable</x:v>
      </x:c>
      <x:c r="S67" s="44"/>
      <x:c r="T67" s="31"/>
      <x:c r="U67" s="46"/>
      <x:c r="V67" s="46"/>
      <x:c r="W67" s="31"/>
      <x:c r="X67" s="31"/>
      <x:c r="Y67" s="31"/>
      <x:c r="Z67" s="41" t="b">
        <x:v>1</x:v>
      </x:c>
      <x:c r="AA67" s="31" t="str">
        <x:v>Falta arrendatario | Falta valor esperado</x:v>
      </x:c>
    </x:row>
    <x:row r="68">
      <x:c r="A68" s="31" t="str">
        <x:v>AR-067</x:v>
      </x:c>
      <x:c r="B68" s="31" t="n">
        <x:v>67</x:v>
      </x:c>
      <x:c r="C68" s="31" t="str">
        <x:v>Hoja1</x:v>
      </x:c>
      <x:c r="D68" s="31" t="n">
        <x:v>68</x:v>
      </x:c>
      <x:c r="E68" s="31" t="str">
        <x:v>AC 22 sur #12B-44 Barrio Ciudad Jardin Localidad Antonio Nariño Apto 404</x:v>
      </x:c>
      <x:c r="F68" s="31" t="str">
        <x:v>Bogotá D.C.</x:v>
      </x:c>
      <x:c r="G68" s="31" t="str">
        <x:v>Ciudad Jardin</x:v>
      </x:c>
      <x:c r="H68" s="31" t="str">
        <x:v>Antonio Nariño Apto 404</x:v>
      </x:c>
      <x:c r="I68" s="31" t="str">
        <x:v>Jose Vicente Buitrago</x:v>
      </x:c>
      <x:c r="J68" s="31" t="str">
        <x:v>se paso Ramon</x:v>
      </x:c>
      <x:c r="K68" s="31"/>
      <x:c r="L68" s="31"/>
      <x:c r="M68" s="31"/>
      <x:c r="N68" s="31" t="str">
        <x:v>se paso Ramon</x:v>
      </x:c>
      <x:c r="O68" s="31"/>
      <x:c r="P68" s="31" t="str">
        <x:v>ACTIVE</x:v>
      </x:c>
      <x:c r="Q68" s="44" t="n">
        <x:v>600000</x:v>
      </x:c>
      <x:c r="R68" s="31" t="str">
        <x:v>Hoja 1 - Valor arrendatario</x:v>
      </x:c>
      <x:c r="S68" s="44"/>
      <x:c r="T68" s="31"/>
      <x:c r="U68" s="46" t="str">
        <x:v>2024-03-15</x:v>
      </x:c>
      <x:c r="V68" s="46"/>
      <x:c r="W68" s="31" t="str">
        <x:v>15/03/2024 $600.000</x:v>
      </x:c>
      <x:c r="X68" s="31" t="str">
        <x:v>NC</x:v>
      </x:c>
      <x:c r="Y68" s="31"/>
      <x:c r="Z68" s="41" t="b">
        <x:v>0</x:v>
      </x:c>
      <x:c r="AA68" s="31" t="str"/>
    </x:row>
    <x:row r="69">
      <x:c r="A69" s="31" t="str">
        <x:v>AR-068</x:v>
      </x:c>
      <x:c r="B69" s="31" t="n">
        <x:v>68</x:v>
      </x:c>
      <x:c r="C69" s="31" t="str">
        <x:v>Hoja1</x:v>
      </x:c>
      <x:c r="D69" s="31" t="n">
        <x:v>69</x:v>
      </x:c>
      <x:c r="E69" s="31" t="str">
        <x:v>Calle 7 #7-24 sur Barrio San Cayetano apto 201</x:v>
      </x:c>
      <x:c r="F69" s="31" t="str">
        <x:v>Bogotá D.C.</x:v>
      </x:c>
      <x:c r="G69" s="31" t="str">
        <x:v>San Cayetano apto 201</x:v>
      </x:c>
      <x:c r="H69" s="31" t="str"/>
      <x:c r="I69" s="31" t="str">
        <x:v>Triviño</x:v>
      </x:c>
      <x:c r="J69" s="31" t="str">
        <x:v>Adan Salazar Eslava</x:v>
      </x:c>
      <x:c r="K69" s="31"/>
      <x:c r="L69" s="31"/>
      <x:c r="M69" s="31"/>
      <x:c r="N69" s="31" t="str">
        <x:v>Adan Salazar Eslava</x:v>
      </x:c>
      <x:c r="O69" s="31" t="str">
        <x:v>Rosa Amada Cepeda Murcia</x:v>
      </x:c>
      <x:c r="P69" s="31" t="str">
        <x:v>ACTIVE</x:v>
      </x:c>
      <x:c r="Q69" s="44" t="n">
        <x:v>1200000</x:v>
      </x:c>
      <x:c r="R69" s="31" t="str">
        <x:v>Hoja 1 - Valor arrendatario</x:v>
      </x:c>
      <x:c r="S69" s="44" t="n">
        <x:v>900000</x:v>
      </x:c>
      <x:c r="T69" s="31" t="str">
        <x:v>Hoja 2 - PAGO A PROPIETARIOS</x:v>
      </x:c>
      <x:c r="U69" s="46" t="str">
        <x:v>2023-11-01</x:v>
      </x:c>
      <x:c r="V69" s="46"/>
      <x:c r="W69" s="31" t="str">
        <x:v>01/11/2023 $1.200.000</x:v>
      </x:c>
      <x:c r="X69" s="31" t="str">
        <x:v>NC</x:v>
      </x:c>
      <x:c r="Y69" s="31" t="str">
        <x:v>Paga $1.200.000 y $200.000 poliza de arriendo $1.000.000 / PENDIENTE PAGO AGOSTO 2024</x:v>
      </x:c>
      <x:c r="Z69" s="41" t="b">
        <x:v>0</x:v>
      </x:c>
      <x:c r="AA69" s="31" t="str"/>
    </x:row>
    <x:row r="70">
      <x:c r="A70" s="31" t="str">
        <x:v>AR-069</x:v>
      </x:c>
      <x:c r="B70" s="31" t="n">
        <x:v>69</x:v>
      </x:c>
      <x:c r="C70" s="31" t="str">
        <x:v>Hoja1</x:v>
      </x:c>
      <x:c r="D70" s="31" t="n">
        <x:v>70</x:v>
      </x:c>
      <x:c r="E70" s="31" t="str">
        <x:v>Kra 12D #19-58 sur primer piso 101 Ciudad Jardin</x:v>
      </x:c>
      <x:c r="F70" s="31" t="str">
        <x:v>Bogotá D.C.</x:v>
      </x:c>
      <x:c r="G70" s="31" t="str"/>
      <x:c r="H70" s="31" t="str"/>
      <x:c r="I70" s="31" t="str">
        <x:v>Mirian Aldana</x:v>
      </x:c>
      <x:c r="J70" s="31" t="str">
        <x:v>Jaime E Villa Mejia</x:v>
      </x:c>
      <x:c r="K70" s="31"/>
      <x:c r="L70" s="31"/>
      <x:c r="M70" s="31"/>
      <x:c r="N70" s="31" t="str">
        <x:v>Jaime E Villa Mejia</x:v>
      </x:c>
      <x:c r="O70" s="31" t="str">
        <x:v>Jaime Eduardo Villa Salazar y Cristian Eduardo Villa Medina</x:v>
      </x:c>
      <x:c r="P70" s="31" t="str">
        <x:v>ACTIVE</x:v>
      </x:c>
      <x:c r="Q70" s="44" t="n">
        <x:v>900000</x:v>
      </x:c>
      <x:c r="R70" s="31" t="str">
        <x:v>Hoja 1 - Valor arrendatario</x:v>
      </x:c>
      <x:c r="S70" s="44" t="n">
        <x:v>820000</x:v>
      </x:c>
      <x:c r="T70" s="31" t="str">
        <x:v>Hoja 2 - PAGO A PROPIETARIOS</x:v>
      </x:c>
      <x:c r="U70" s="46" t="str">
        <x:v>2023-11-01</x:v>
      </x:c>
      <x:c r="V70" s="46"/>
      <x:c r="W70" s="31" t="str">
        <x:v>01/11/2023 $900.000</x:v>
      </x:c>
      <x:c r="X70" s="31" t="str">
        <x:v>NC</x:v>
      </x:c>
      <x:c r="Y70" s="31" t="str">
        <x:v>Se traslado del 301 al 101 de la misma propiedad y nuevo contrato / PENDIENTE PAGO AGOSTO 2024</x:v>
      </x:c>
      <x:c r="Z70" s="41" t="b">
        <x:v>0</x:v>
      </x:c>
      <x:c r="AA70" s="31" t="str"/>
    </x:row>
    <x:row r="71">
      <x:c r="A71" s="31" t="str">
        <x:v>AR-070</x:v>
      </x:c>
      <x:c r="B71" s="31" t="n">
        <x:v>70</x:v>
      </x:c>
      <x:c r="C71" s="31" t="str">
        <x:v>Hoja1</x:v>
      </x:c>
      <x:c r="D71" s="31" t="n">
        <x:v>71</x:v>
      </x:c>
      <x:c r="E71" s="31" t="str">
        <x:v>Calle 135 A #9A-20 Apto 105</x:v>
      </x:c>
      <x:c r="F71" s="31" t="str">
        <x:v>Bogotá D.C.</x:v>
      </x:c>
      <x:c r="G71" s="31" t="str"/>
      <x:c r="H71" s="31" t="str"/>
      <x:c r="I71" s="31" t="str">
        <x:v>Jose Vicente Buitrago</x:v>
      </x:c>
      <x:c r="J71" s="31" t="str">
        <x:v>Kelly Cervera Molina</x:v>
      </x:c>
      <x:c r="K71" s="31"/>
      <x:c r="L71" s="31"/>
      <x:c r="M71" s="31"/>
      <x:c r="N71" s="31" t="str">
        <x:v>Kelly Cervera Molina </x:v>
      </x:c>
      <x:c r="O71" s="31" t="str">
        <x:v>Dicken Josed Uncancia Alonso</x:v>
      </x:c>
      <x:c r="P71" s="31" t="str">
        <x:v>ENDED</x:v>
      </x:c>
      <x:c r="Q71" s="44" t="n">
        <x:v>800000</x:v>
      </x:c>
      <x:c r="R71" s="31" t="str">
        <x:v>Hoja 1 - Valor arrendatario</x:v>
      </x:c>
      <x:c r="S71" s="44"/>
      <x:c r="T71" s="31"/>
      <x:c r="U71" s="46" t="str">
        <x:v>2023-12-01</x:v>
      </x:c>
      <x:c r="V71" s="46"/>
      <x:c r="W71" s="31" t="str">
        <x:v>01/12/2023 $800.000</x:v>
      </x:c>
      <x:c r="X71" s="31" t="str">
        <x:v>NC</x:v>
      </x:c>
      <x:c r="Y71" s="31" t="str">
        <x:v>TERMINADO</x:v>
      </x:c>
      <x:c r="Z71" s="41" t="b">
        <x:v>1</x:v>
      </x:c>
      <x:c r="AA71" s="31" t="str">
        <x:v>Estado inferido: ENDED</x:v>
      </x:c>
    </x:row>
    <x:row r="72">
      <x:c r="A72" s="31" t="str">
        <x:v>AR-071</x:v>
      </x:c>
      <x:c r="B72" s="31" t="n">
        <x:v>71</x:v>
      </x:c>
      <x:c r="C72" s="31" t="str">
        <x:v>Hoja1</x:v>
      </x:c>
      <x:c r="D72" s="31" t="n">
        <x:v>72</x:v>
      </x:c>
      <x:c r="E72" s="31" t="str">
        <x:v>Calle 13A #19-41 Sur Restrepo 201</x:v>
      </x:c>
      <x:c r="F72" s="31" t="str">
        <x:v>Bogotá D.C.</x:v>
      </x:c>
      <x:c r="G72" s="31" t="str"/>
      <x:c r="H72" s="31" t="str"/>
      <x:c r="I72" s="31" t="str">
        <x:v>Jose Vicente Buitrago</x:v>
      </x:c>
      <x:c r="J72" s="31" t="str">
        <x:v>Fredy Alexander Quiñones Paloma</x:v>
      </x:c>
      <x:c r="K72" s="31"/>
      <x:c r="L72" s="31"/>
      <x:c r="M72" s="31"/>
      <x:c r="N72" s="31" t="str">
        <x:v>Fredy Alexander Quiñones Paloma</x:v>
      </x:c>
      <x:c r="O72" s="31" t="str">
        <x:v>Se allega solicitud de terminacion unilateral por incumplimiento </x:v>
      </x:c>
      <x:c r="P72" s="31" t="str">
        <x:v>ACTIVE</x:v>
      </x:c>
      <x:c r="Q72" s="44" t="n">
        <x:v>400000</x:v>
      </x:c>
      <x:c r="R72" s="31" t="str">
        <x:v>Hoja 1 - Valor arrendatario</x:v>
      </x:c>
      <x:c r="S72" s="44"/>
      <x:c r="T72" s="31"/>
      <x:c r="U72" s="46" t="str">
        <x:v>2023-12-06</x:v>
      </x:c>
      <x:c r="V72" s="46"/>
      <x:c r="W72" s="31" t="str">
        <x:v>06/12/2023 $400.000 x 6 meses fuera de servicios</x:v>
      </x:c>
      <x:c r="X72" s="31" t="str">
        <x:v>NC</x:v>
      </x:c>
      <x:c r="Y72" s="31"/>
      <x:c r="Z72" s="41" t="b">
        <x:v>0</x:v>
      </x:c>
      <x:c r="AA72" s="31" t="str"/>
    </x:row>
    <x:row r="73">
      <x:c r="A73" s="31" t="str">
        <x:v>AR-072</x:v>
      </x:c>
      <x:c r="B73" s="31" t="n">
        <x:v>72</x:v>
      </x:c>
      <x:c r="C73" s="31" t="str">
        <x:v>Hoja1</x:v>
      </x:c>
      <x:c r="D73" s="31" t="n">
        <x:v>73</x:v>
      </x:c>
      <x:c r="E73" s="31" t="str">
        <x:v>AC 22 sur #12B-44 APTO 404 Barrio Ciudad Jardin</x:v>
      </x:c>
      <x:c r="F73" s="31" t="str">
        <x:v>Bogotá D.C.</x:v>
      </x:c>
      <x:c r="G73" s="31" t="str">
        <x:v>Ciudad Jardin</x:v>
      </x:c>
      <x:c r="H73" s="31" t="str"/>
      <x:c r="I73" s="31" t="str">
        <x:v>Jose Vicente Buitrago</x:v>
      </x:c>
      <x:c r="J73" s="31"/>
      <x:c r="K73" s="31"/>
      <x:c r="L73" s="31"/>
      <x:c r="M73" s="31"/>
      <x:c r="N73" s="31"/>
      <x:c r="O73" s="31"/>
      <x:c r="P73" s="31" t="str">
        <x:v>ACTIVE</x:v>
      </x:c>
      <x:c r="Q73" s="44"/>
      <x:c r="R73" s="31" t="str">
        <x:v>Sin valor confiable</x:v>
      </x:c>
      <x:c r="S73" s="44"/>
      <x:c r="T73" s="31"/>
      <x:c r="U73" s="46"/>
      <x:c r="V73" s="46"/>
      <x:c r="W73" s="31"/>
      <x:c r="X73" s="31"/>
      <x:c r="Y73" s="31"/>
      <x:c r="Z73" s="41" t="b">
        <x:v>1</x:v>
      </x:c>
      <x:c r="AA73" s="31" t="str">
        <x:v>Falta arrendatario | Falta valor esperado</x:v>
      </x:c>
    </x:row>
    <x:row r="74">
      <x:c r="A74" s="31" t="str">
        <x:v>AR-073</x:v>
      </x:c>
      <x:c r="B74" s="31" t="n">
        <x:v>73</x:v>
      </x:c>
      <x:c r="C74" s="31" t="str">
        <x:v>Hoja1</x:v>
      </x:c>
      <x:c r="D74" s="31" t="n">
        <x:v>74</x:v>
      </x:c>
      <x:c r="E74" s="31" t="str">
        <x:v>AC 22 sur #12B-44 apto 303</x:v>
      </x:c>
      <x:c r="F74" s="31" t="str">
        <x:v>Bogotá D.C.</x:v>
      </x:c>
      <x:c r="G74" s="31" t="str"/>
      <x:c r="H74" s="31" t="str"/>
      <x:c r="I74" s="31" t="str">
        <x:v>Jose Vicente Buitrago</x:v>
      </x:c>
      <x:c r="J74" s="31" t="str">
        <x:v>Iris Melisa Sanjuan Benavides</x:v>
      </x:c>
      <x:c r="K74" s="31"/>
      <x:c r="L74" s="31"/>
      <x:c r="M74" s="31"/>
      <x:c r="N74" s="31" t="str">
        <x:v>Iris Melisa Sanjuan Benavides</x:v>
      </x:c>
      <x:c r="O74" s="31"/>
      <x:c r="P74" s="31" t="str">
        <x:v>ACTIVE</x:v>
      </x:c>
      <x:c r="Q74" s="44" t="n">
        <x:v>500000</x:v>
      </x:c>
      <x:c r="R74" s="31" t="str">
        <x:v>Hoja 1 - Valor arrendatario</x:v>
      </x:c>
      <x:c r="S74" s="44"/>
      <x:c r="T74" s="31"/>
      <x:c r="U74" s="46" t="str">
        <x:v>2024-06-01</x:v>
      </x:c>
      <x:c r="V74" s="46"/>
      <x:c r="W74" s="31" t="n">
        <x:v>45444</x:v>
      </x:c>
      <x:c r="X74" s="31" t="str">
        <x:v>NC</x:v>
      </x:c>
      <x:c r="Y74" s="31"/>
      <x:c r="Z74" s="41" t="b">
        <x:v>0</x:v>
      </x:c>
      <x:c r="AA74" s="31" t="str"/>
    </x:row>
    <x:row r="75">
      <x:c r="A75" s="31" t="str">
        <x:v>AR-074</x:v>
      </x:c>
      <x:c r="B75" s="31" t="n">
        <x:v>74</x:v>
      </x:c>
      <x:c r="C75" s="31" t="str">
        <x:v>Hoja1</x:v>
      </x:c>
      <x:c r="D75" s="31" t="n">
        <x:v>75</x:v>
      </x:c>
      <x:c r="E75" s="31" t="str">
        <x:v>Calle 19 sur #13-22 Casa Barrio Ciudad Jardin Localidad Antonio Nariño</x:v>
      </x:c>
      <x:c r="F75" s="31" t="str">
        <x:v>Bogotá D.C.</x:v>
      </x:c>
      <x:c r="G75" s="31" t="str">
        <x:v>Ciudad Jardin</x:v>
      </x:c>
      <x:c r="H75" s="31" t="str">
        <x:v>Antonio Nariño</x:v>
      </x:c>
      <x:c r="I75" s="31" t="str">
        <x:v>Rosa Elvira Montenegro (colegio)</x:v>
      </x:c>
      <x:c r="J75" s="31" t="str">
        <x:v>Luz Marina Cruz Rodriguez</x:v>
      </x:c>
      <x:c r="K75" s="31"/>
      <x:c r="L75" s="31"/>
      <x:c r="M75" s="31"/>
      <x:c r="N75" s="31" t="str">
        <x:v>Luz Marina Cruz Rodriguez</x:v>
      </x:c>
      <x:c r="O75" s="31" t="str">
        <x:v>Sandra Milena Villaruaga Cruz, Hernan Camilo Gonzalez Cabrera y Nubia Rosa Cabrera Carreño</x:v>
      </x:c>
      <x:c r="P75" s="31" t="str">
        <x:v>ACTIVE</x:v>
      </x:c>
      <x:c r="Q75" s="44" t="n">
        <x:v>2500000</x:v>
      </x:c>
      <x:c r="R75" s="31" t="str">
        <x:v>Hoja 1 - Valor arrendatario</x:v>
      </x:c>
      <x:c r="S75" s="44" t="n">
        <x:v>2000000</x:v>
      </x:c>
      <x:c r="T75" s="31" t="str">
        <x:v>Hoja 2 - PAGO A PROPIETARIOS</x:v>
      </x:c>
      <x:c r="U75" s="46" t="str">
        <x:v>2023-12-01</x:v>
      </x:c>
      <x:c r="V75" s="46"/>
      <x:c r="W75" s="31" t="str">
        <x:v>01/12/2023 $2.500.000 x 12 meses / SE PAGA $ 2.500.000</x:v>
      </x:c>
      <x:c r="X75" s="31" t="str">
        <x:v>NC</x:v>
      </x:c>
      <x:c r="Y75" s="31" t="str">
        <x:v>PAGA TODOS LOS 25 DE CADA MES (MES ANTICIPADO) YA PAGO AGOSTO DE 2024</x:v>
      </x:c>
      <x:c r="Z75" s="41" t="b">
        <x:v>0</x:v>
      </x:c>
      <x:c r="AA75" s="31" t="str"/>
    </x:row>
    <x:row r="76">
      <x:c r="A76" s="31" t="str">
        <x:v>AR-075</x:v>
      </x:c>
      <x:c r="B76" s="31" t="n">
        <x:v>75</x:v>
      </x:c>
      <x:c r="C76" s="31" t="str">
        <x:v>Hoja1</x:v>
      </x:c>
      <x:c r="D76" s="31" t="n">
        <x:v>76</x:v>
      </x:c>
      <x:c r="E76" s="31" t="str">
        <x:v>Calle 25 sur #12F-38 Apto 202</x:v>
      </x:c>
      <x:c r="F76" s="31" t="str">
        <x:v>Bogotá D.C.</x:v>
      </x:c>
      <x:c r="G76" s="31" t="str"/>
      <x:c r="H76" s="31" t="str"/>
      <x:c r="I76" s="31" t="str">
        <x:v>Roberto Selis</x:v>
      </x:c>
      <x:c r="J76" s="31" t="str">
        <x:v>Jorge H Sanabria</x:v>
      </x:c>
      <x:c r="K76" s="31"/>
      <x:c r="L76" s="31"/>
      <x:c r="M76" s="31"/>
      <x:c r="N76" s="31" t="str">
        <x:v>Jorge H Sanabria / fabiola chilito</x:v>
      </x:c>
      <x:c r="O76" s="31" t="str">
        <x:v>Daniel R Escamilla</x:v>
      </x:c>
      <x:c r="P76" s="31" t="str">
        <x:v>ACTIVE</x:v>
      </x:c>
      <x:c r="Q76" s="44" t="n">
        <x:v>700000</x:v>
      </x:c>
      <x:c r="R76" s="31" t="str">
        <x:v>Hoja 1 - Valor arrendatario</x:v>
      </x:c>
      <x:c r="S76" s="44" t="n">
        <x:v>630000</x:v>
      </x:c>
      <x:c r="T76" s="31" t="str">
        <x:v>Hoja 2 - PAGO A PROPIETARIOS</x:v>
      </x:c>
      <x:c r="U76" s="46" t="str">
        <x:v>2024-05-01</x:v>
      </x:c>
      <x:c r="V76" s="46"/>
      <x:c r="W76" s="31" t="str">
        <x:v>01/05/2024 $700.000 x 12 meses DEMANDA / 800.000</x:v>
      </x:c>
      <x:c r="X76" s="31" t="str">
        <x:v>NC</x:v>
      </x:c>
      <x:c r="Y76" s="31" t="str">
        <x:v>PAGO AGOSTO 2024 700.000 EN EFECTIVO JVBP</x:v>
      </x:c>
      <x:c r="Z76" s="41" t="b">
        <x:v>0</x:v>
      </x:c>
      <x:c r="AA76" s="31" t="str"/>
    </x:row>
    <x:row r="77">
      <x:c r="A77" s="31" t="str">
        <x:v>AR-076</x:v>
      </x:c>
      <x:c r="B77" s="31" t="n">
        <x:v>76</x:v>
      </x:c>
      <x:c r="C77" s="31" t="str">
        <x:v>Hoja1</x:v>
      </x:c>
      <x:c r="D77" s="31" t="n">
        <x:v>77</x:v>
      </x:c>
      <x:c r="E77" s="31" t="str">
        <x:v>Calle 13 A #9A-20 Country Lisboa 105</x:v>
      </x:c>
      <x:c r="F77" s="31" t="str">
        <x:v>Bogotá D.C.</x:v>
      </x:c>
      <x:c r="G77" s="31" t="str"/>
      <x:c r="H77" s="31" t="str"/>
      <x:c r="I77" s="31" t="str">
        <x:v>Jose Vicente Buitrago</x:v>
      </x:c>
      <x:c r="J77" s="31" t="str">
        <x:v>Maria Victoria Montana Marin</x:v>
      </x:c>
      <x:c r="K77" s="31"/>
      <x:c r="L77" s="31"/>
      <x:c r="M77" s="31"/>
      <x:c r="N77" s="31" t="str">
        <x:v>Maria Victoria Montana Marin</x:v>
      </x:c>
      <x:c r="O77" s="31" t="str">
        <x:v>Esperanza Montoya Marin y Liliana Montoya Marin</x:v>
      </x:c>
      <x:c r="P77" s="31" t="str">
        <x:v>ACTIVE</x:v>
      </x:c>
      <x:c r="Q77" s="44" t="n">
        <x:v>1300000</x:v>
      </x:c>
      <x:c r="R77" s="31" t="str">
        <x:v>Hoja 1 - Valor arrendatario</x:v>
      </x:c>
      <x:c r="S77" s="44"/>
      <x:c r="T77" s="31"/>
      <x:c r="U77" s="46" t="str">
        <x:v>2024-02-01</x:v>
      </x:c>
      <x:c r="V77" s="46"/>
      <x:c r="W77" s="31" t="str">
        <x:v>01/02/2024 $1.300.000 x 12 meses</x:v>
      </x:c>
      <x:c r="X77" s="31" t="str">
        <x:v>NC</x:v>
      </x:c>
      <x:c r="Y77" s="31"/>
      <x:c r="Z77" s="41" t="b">
        <x:v>0</x:v>
      </x:c>
      <x:c r="AA77" s="31" t="str"/>
    </x:row>
    <x:row r="78">
      <x:c r="A78" s="31" t="str">
        <x:v>AR-077</x:v>
      </x:c>
      <x:c r="B78" s="31" t="n">
        <x:v>77</x:v>
      </x:c>
      <x:c r="C78" s="31" t="str">
        <x:v>Hoja1</x:v>
      </x:c>
      <x:c r="D78" s="31" t="n">
        <x:v>78</x:v>
      </x:c>
      <x:c r="E78" s="31" t="str">
        <x:v>CRA 12 D #19-55 CIUDAD JARDIN</x:v>
      </x:c>
      <x:c r="F78" s="31" t="str">
        <x:v>Bogotá D.C.</x:v>
      </x:c>
      <x:c r="G78" s="31" t="str"/>
      <x:c r="H78" s="31" t="str"/>
      <x:c r="I78" s="31" t="str">
        <x:v>Mirian Aldana</x:v>
      </x:c>
      <x:c r="J78" s="31" t="str">
        <x:v>Gustavo Avendaño Ramirez</x:v>
      </x:c>
      <x:c r="K78" s="31"/>
      <x:c r="L78" s="31"/>
      <x:c r="M78" s="31"/>
      <x:c r="N78" s="31" t="str">
        <x:v>Gustavo Avendaño Ramirez</x:v>
      </x:c>
      <x:c r="O78" s="31" t="str">
        <x:v>Samuel Jeronimo Avendaño Y Pedro Antonio Avendaño</x:v>
      </x:c>
      <x:c r="P78" s="31" t="str">
        <x:v>ACTIVE</x:v>
      </x:c>
      <x:c r="Q78" s="44" t="n">
        <x:v>1000000</x:v>
      </x:c>
      <x:c r="R78" s="31" t="str">
        <x:v>Hoja 1 - Valor arrendatario</x:v>
      </x:c>
      <x:c r="S78" s="44" t="n">
        <x:v>900000</x:v>
      </x:c>
      <x:c r="T78" s="31" t="str">
        <x:v>Hoja 2 - PAGO A PROPIETARIOS</x:v>
      </x:c>
      <x:c r="U78" s="46" t="str">
        <x:v>2024-05-01</x:v>
      </x:c>
      <x:c r="V78" s="46"/>
      <x:c r="W78" s="31" t="str">
        <x:v>01/05/2024 $1.000.000 x 12 meses</x:v>
      </x:c>
      <x:c r="X78" s="31" t="str">
        <x:v>NC</x:v>
      </x:c>
      <x:c r="Y78" s="31" t="str">
        <x:v>PAGO AGOSTO 2024 / $ 1.000.000 PENDIENTE ENVIAR PAZ Y SALVO. </x:v>
      </x:c>
      <x:c r="Z78" s="41" t="b">
        <x:v>0</x:v>
      </x:c>
      <x:c r="AA78" s="31" t="str"/>
    </x:row>
    <x:row r="79">
      <x:c r="A79" s="31" t="str">
        <x:v>AR-078</x:v>
      </x:c>
      <x:c r="B79" s="31" t="n">
        <x:v>78</x:v>
      </x:c>
      <x:c r="C79" s="31" t="str">
        <x:v>Hoja1</x:v>
      </x:c>
      <x:c r="D79" s="31" t="n">
        <x:v>79</x:v>
      </x:c>
      <x:c r="E79" s="31" t="str">
        <x:v>AC 22 sur #12B-44 APTO 103 Barrio Ciudad Jardin</x:v>
      </x:c>
      <x:c r="F79" s="31" t="str">
        <x:v>Bogotá D.C.</x:v>
      </x:c>
      <x:c r="G79" s="31" t="str">
        <x:v>Ciudad Jardin</x:v>
      </x:c>
      <x:c r="H79" s="31" t="str"/>
      <x:c r="I79" s="31" t="str">
        <x:v>Jose Vicente Buitrago</x:v>
      </x:c>
      <x:c r="J79" s="31" t="str">
        <x:v>Fredy Castaño Rojas</x:v>
      </x:c>
      <x:c r="K79" s="31"/>
      <x:c r="L79" s="31"/>
      <x:c r="M79" s="31"/>
      <x:c r="N79" s="31" t="str">
        <x:v>Fredy Castaño Rojas </x:v>
      </x:c>
      <x:c r="O79" s="31" t="str">
        <x:v>Hislay Andreina Mendoza Griman</x:v>
      </x:c>
      <x:c r="P79" s="31" t="str">
        <x:v>ACTIVE</x:v>
      </x:c>
      <x:c r="Q79" s="44" t="n">
        <x:v>600000</x:v>
      </x:c>
      <x:c r="R79" s="31" t="str">
        <x:v>Hoja 1 - Valor arrendatario</x:v>
      </x:c>
      <x:c r="S79" s="44"/>
      <x:c r="T79" s="31"/>
      <x:c r="U79" s="46" t="str">
        <x:v>2024-06-01</x:v>
      </x:c>
      <x:c r="V79" s="46"/>
      <x:c r="W79" s="31" t="n">
        <x:v>45444</x:v>
      </x:c>
      <x:c r="X79" s="31"/>
      <x:c r="Y79" s="31"/>
      <x:c r="Z79" s="41" t="b">
        <x:v>0</x:v>
      </x:c>
      <x:c r="AA79" s="31" t="str"/>
    </x:row>
    <x:row r="80">
      <x:c r="A80" s="31" t="str">
        <x:v>AR-079</x:v>
      </x:c>
      <x:c r="B80" s="31" t="n">
        <x:v>79</x:v>
      </x:c>
      <x:c r="C80" s="31" t="str">
        <x:v>Hoja1</x:v>
      </x:c>
      <x:c r="D80" s="31" t="n">
        <x:v>80</x:v>
      </x:c>
      <x:c r="E80" s="31" t="str">
        <x:v>AC 22 sur #12B-44 APTO 503 Barrio Ciudad Jardin</x:v>
      </x:c>
      <x:c r="F80" s="31" t="str">
        <x:v>Bogotá D.C.</x:v>
      </x:c>
      <x:c r="G80" s="31" t="str">
        <x:v>Ciudad Jardin</x:v>
      </x:c>
      <x:c r="H80" s="31" t="str"/>
      <x:c r="I80" s="31" t="str">
        <x:v>Jose Vicente Buitrago</x:v>
      </x:c>
      <x:c r="J80" s="31" t="str">
        <x:v>Luis Manuel Cerdeno</x:v>
      </x:c>
      <x:c r="K80" s="31"/>
      <x:c r="L80" s="31"/>
      <x:c r="M80" s="31"/>
      <x:c r="N80" s="31" t="str">
        <x:v>Luis Manuel Cerdeno</x:v>
      </x:c>
      <x:c r="O80" s="31"/>
      <x:c r="P80" s="31" t="str">
        <x:v>ACTIVE</x:v>
      </x:c>
      <x:c r="Q80" s="44" t="n">
        <x:v>500000</x:v>
      </x:c>
      <x:c r="R80" s="31" t="str">
        <x:v>Hoja 1 - Valor arrendatario</x:v>
      </x:c>
      <x:c r="S80" s="44"/>
      <x:c r="T80" s="31"/>
      <x:c r="U80" s="46" t="str">
        <x:v>2024-02-25</x:v>
      </x:c>
      <x:c r="V80" s="46"/>
      <x:c r="W80" s="31" t="str">
        <x:v>25/02/2024 $ 500.000</x:v>
      </x:c>
      <x:c r="X80" s="31" t="str">
        <x:v>NC</x:v>
      </x:c>
      <x:c r="Y80" s="31"/>
      <x:c r="Z80" s="41" t="b">
        <x:v>0</x:v>
      </x:c>
      <x:c r="AA80" s="31" t="str"/>
    </x:row>
    <x:row r="81">
      <x:c r="A81" s="31" t="str">
        <x:v>AR-080</x:v>
      </x:c>
      <x:c r="B81" s="31" t="n">
        <x:v>80</x:v>
      </x:c>
      <x:c r="C81" s="31" t="str">
        <x:v>Hoja1</x:v>
      </x:c>
      <x:c r="D81" s="31" t="n">
        <x:v>81</x:v>
      </x:c>
      <x:c r="E81" s="31" t="str">
        <x:v>Cra 80 i #57 h-41  sur CLASS ROMA</x:v>
      </x:c>
      <x:c r="F81" s="31" t="str">
        <x:v>Bogotá D.C.</x:v>
      </x:c>
      <x:c r="G81" s="31" t="str"/>
      <x:c r="H81" s="31" t="str"/>
      <x:c r="I81" s="31" t="str">
        <x:v>Jose Vicente Buitrago</x:v>
      </x:c>
      <x:c r="J81" s="31" t="str">
        <x:v>Magalys Carrasquilla</x:v>
      </x:c>
      <x:c r="K81" s="31"/>
      <x:c r="L81" s="31"/>
      <x:c r="M81" s="31"/>
      <x:c r="N81" s="31" t="str">
        <x:v>Magalys Carrasquilla</x:v>
      </x:c>
      <x:c r="O81" s="31"/>
      <x:c r="P81" s="31" t="str">
        <x:v>ACTIVE</x:v>
      </x:c>
      <x:c r="Q81" s="44" t="n">
        <x:v>1200000</x:v>
      </x:c>
      <x:c r="R81" s="31" t="str">
        <x:v>Hoja 1 - Valor arrendatario</x:v>
      </x:c>
      <x:c r="S81" s="44"/>
      <x:c r="T81" s="31"/>
      <x:c r="U81" s="46" t="str">
        <x:v>2024-05-30</x:v>
      </x:c>
      <x:c r="V81" s="46"/>
      <x:c r="W81" s="31" t="str">
        <x:v>30/05/2024 $1.200.000</x:v>
      </x:c>
      <x:c r="X81" s="31" t="str">
        <x:v>NC</x:v>
      </x:c>
      <x:c r="Y81" s="31"/>
      <x:c r="Z81" s="41" t="b">
        <x:v>0</x:v>
      </x:c>
      <x:c r="AA81" s="31" t="str"/>
    </x:row>
    <x:row r="82">
      <x:c r="A82" s="31" t="str">
        <x:v>AR-081</x:v>
      </x:c>
      <x:c r="B82" s="31" t="n">
        <x:v>81</x:v>
      </x:c>
      <x:c r="C82" s="31" t="str">
        <x:v>Hoja1</x:v>
      </x:c>
      <x:c r="D82" s="31" t="n">
        <x:v>82</x:v>
      </x:c>
      <x:c r="E82" s="31" t="str">
        <x:v>Cra 12D BIS #24-42 APTO S JOSE OBRERO Localidad Uribe Uribe</x:v>
      </x:c>
      <x:c r="F82" s="31" t="str">
        <x:v>Bogotá D.C.</x:v>
      </x:c>
      <x:c r="G82" s="31" t="str"/>
      <x:c r="H82" s="31" t="str">
        <x:v>Uribe Uribe</x:v>
      </x:c>
      <x:c r="I82" s="31" t="str">
        <x:v>Ana</x:v>
      </x:c>
      <x:c r="J82" s="31" t="str">
        <x:v>Johana Ordoñez</x:v>
      </x:c>
      <x:c r="K82" s="31"/>
      <x:c r="L82" s="31"/>
      <x:c r="M82" s="31"/>
      <x:c r="N82" s="31" t="str">
        <x:v>Johana Ordoñez </x:v>
      </x:c>
      <x:c r="O82" s="31" t="str">
        <x:v>Maira Yeraldin Savedra Ordoñez y Jhon Mauricio Savedra Basallo</x:v>
      </x:c>
      <x:c r="P82" s="31" t="str">
        <x:v>ACTIVE</x:v>
      </x:c>
      <x:c r="Q82" s="44" t="n">
        <x:v>700000</x:v>
      </x:c>
      <x:c r="R82" s="31" t="str">
        <x:v>Hoja 1 - Valor arrendatario</x:v>
      </x:c>
      <x:c r="S82" s="44"/>
      <x:c r="T82" s="31"/>
      <x:c r="U82" s="46" t="str">
        <x:v>2023-12-01</x:v>
      </x:c>
      <x:c r="V82" s="46"/>
      <x:c r="W82" s="31" t="str">
        <x:v>01/12/2023 $700.000 x 6 meses</x:v>
      </x:c>
      <x:c r="X82" s="31" t="str">
        <x:v>NC</x:v>
      </x:c>
      <x:c r="Y82" s="31" t="str">
        <x:v>PENDIENTE AVERIGUAR.</x:v>
      </x:c>
      <x:c r="Z82" s="41" t="b">
        <x:v>0</x:v>
      </x:c>
      <x:c r="AA82" s="31" t="str"/>
    </x:row>
    <x:row r="83">
      <x:c r="A83" s="31" t="str">
        <x:v>AR-082</x:v>
      </x:c>
      <x:c r="B83" s="31" t="n">
        <x:v>82</x:v>
      </x:c>
      <x:c r="C83" s="31" t="str">
        <x:v>Hoja1</x:v>
      </x:c>
      <x:c r="D83" s="31" t="n">
        <x:v>83</x:v>
      </x:c>
      <x:c r="E83" s="31" t="str">
        <x:v>Cra 12D #24-52 sur Local Comercial S JOSE OBRERO Localidad Uribe Uribe</x:v>
      </x:c>
      <x:c r="F83" s="31" t="str">
        <x:v>Bogotá D.C.</x:v>
      </x:c>
      <x:c r="G83" s="31" t="str"/>
      <x:c r="H83" s="31" t="str">
        <x:v>Uribe Uribe</x:v>
      </x:c>
      <x:c r="I83" s="31" t="str">
        <x:v>Carlos Lavanderia</x:v>
      </x:c>
      <x:c r="J83" s="31" t="str">
        <x:v>Jose Arturo Caceres Telles</x:v>
      </x:c>
      <x:c r="K83" s="31"/>
      <x:c r="L83" s="31"/>
      <x:c r="M83" s="31"/>
      <x:c r="N83" s="31" t="str">
        <x:v>Jose Arturo Caceres Telles</x:v>
      </x:c>
      <x:c r="O83" s="31" t="str">
        <x:v>Maryana Colmenares Mora</x:v>
      </x:c>
      <x:c r="P83" s="31" t="str">
        <x:v>ACTIVE</x:v>
      </x:c>
      <x:c r="Q83" s="44" t="n">
        <x:v>1500000</x:v>
      </x:c>
      <x:c r="R83" s="31" t="str">
        <x:v>Hoja 1 - Valor arrendatario</x:v>
      </x:c>
      <x:c r="S83" s="44" t="n">
        <x:v>1500000</x:v>
      </x:c>
      <x:c r="T83" s="31" t="str">
        <x:v>Hoja 1 propietarios fila 121</x:v>
      </x:c>
      <x:c r="U83" s="46" t="str">
        <x:v>2024-03-01</x:v>
      </x:c>
      <x:c r="V83" s="46"/>
      <x:c r="W83" s="31" t="str">
        <x:v>01/03/2024 $1.500.000</x:v>
      </x:c>
      <x:c r="X83" s="31" t="str">
        <x:v>NC</x:v>
      </x:c>
      <x:c r="Y83" s="31" t="str">
        <x:v>DEBE 3 CANONES DE ARRENDAMIENTO CON AGOSTO DE 2024. REGISTRAR ESCRITO DE GARANTIA MOBILIARIAS. ATENCIÓN URG.</x:v>
      </x:c>
      <x:c r="Z83" s="41" t="b">
        <x:v>0</x:v>
      </x:c>
      <x:c r="AA83" s="31" t="str"/>
    </x:row>
    <x:row r="84">
      <x:c r="A84" s="31" t="str">
        <x:v>AR-083</x:v>
      </x:c>
      <x:c r="B84" s="31" t="n">
        <x:v>83</x:v>
      </x:c>
      <x:c r="C84" s="31" t="str">
        <x:v>Hoja1</x:v>
      </x:c>
      <x:c r="D84" s="31" t="n">
        <x:v>84</x:v>
      </x:c>
      <x:c r="E84" s="31" t="str">
        <x:v>AC 22 sur #12B-44 Local Comercial Barrio Ciudad Jardin</x:v>
      </x:c>
      <x:c r="F84" s="31" t="str">
        <x:v>Bogotá D.C.</x:v>
      </x:c>
      <x:c r="G84" s="31" t="str">
        <x:v>Ciudad Jardin</x:v>
      </x:c>
      <x:c r="H84" s="31" t="str"/>
      <x:c r="I84" s="31" t="str">
        <x:v>Jose Vicente Buitrago</x:v>
      </x:c>
      <x:c r="J84" s="31" t="str">
        <x:v>Jorge Armando Barrios Y Alexandra Briggite Silva Sanchez</x:v>
      </x:c>
      <x:c r="K84" s="31"/>
      <x:c r="L84" s="31"/>
      <x:c r="M84" s="31"/>
      <x:c r="N84" s="31" t="str">
        <x:v>Jorge Armando Barrios Y Alexandra Briggite Silva Sanchez</x:v>
      </x:c>
      <x:c r="O84" s="31" t="str">
        <x:v>Anderson Alberto Figueroa Muñoz</x:v>
      </x:c>
      <x:c r="P84" s="31" t="str">
        <x:v>LEGAL_REVIEW</x:v>
      </x:c>
      <x:c r="Q84" s="44" t="n">
        <x:v>3000000</x:v>
      </x:c>
      <x:c r="R84" s="31" t="str">
        <x:v>Hoja1 - contrato/canon</x:v>
      </x:c>
      <x:c r="S84" s="44"/>
      <x:c r="T84" s="31"/>
      <x:c r="U84" s="46" t="str">
        <x:v>2024-03-01</x:v>
      </x:c>
      <x:c r="V84" s="46"/>
      <x:c r="W84" s="31" t="str">
        <x:v>01/03/2024 $3.000.000</x:v>
      </x:c>
      <x:c r="X84" s="31" t="str">
        <x:v>NC</x:v>
      </x:c>
      <x:c r="Y84" s="31" t="str">
        <x:v>LOCAL COCTELERIA</x:v>
      </x:c>
      <x:c r="Z84" s="41" t="b">
        <x:v>1</x:v>
      </x:c>
      <x:c r="AA84" s="31" t="str">
        <x:v>Estado inferido: LEGAL_REVIEW</x:v>
      </x:c>
    </x:row>
    <x:row r="85">
      <x:c r="A85" s="31" t="str">
        <x:v>AR-084</x:v>
      </x:c>
      <x:c r="B85" s="31" t="n">
        <x:v>84</x:v>
      </x:c>
      <x:c r="C85" s="31" t="str">
        <x:v>Hoja1</x:v>
      </x:c>
      <x:c r="D85" s="31" t="n">
        <x:v>85</x:v>
      </x:c>
      <x:c r="E85" s="31" t="str">
        <x:v>CLASS ROMA APT 104</x:v>
      </x:c>
      <x:c r="F85" s="31" t="str">
        <x:v>Bogotá D.C.</x:v>
      </x:c>
      <x:c r="G85" s="31" t="str"/>
      <x:c r="H85" s="31" t="str"/>
      <x:c r="I85" s="31" t="str">
        <x:v>Jose Vicente Buitrago</x:v>
      </x:c>
      <x:c r="J85" s="31" t="str">
        <x:v>Eduardo Gumercindo Ortiz</x:v>
      </x:c>
      <x:c r="K85" s="31"/>
      <x:c r="L85" s="31"/>
      <x:c r="M85" s="31"/>
      <x:c r="N85" s="31" t="str">
        <x:v>Eduardo Gumercindo Ortiz</x:v>
      </x:c>
      <x:c r="O85" s="31"/>
      <x:c r="P85" s="31" t="str">
        <x:v>ACTIVE</x:v>
      </x:c>
      <x:c r="Q85" s="44" t="n">
        <x:v>300000</x:v>
      </x:c>
      <x:c r="R85" s="31" t="str">
        <x:v>Hoja 1 - Valor arrendatario</x:v>
      </x:c>
      <x:c r="S85" s="44" t="n">
        <x:v>500000</x:v>
      </x:c>
      <x:c r="T85" s="31" t="str">
        <x:v>Hoja 2 - PAGO A PROPIETARIOS</x:v>
      </x:c>
      <x:c r="U85" s="46" t="str">
        <x:v>2024-03-01</x:v>
      </x:c>
      <x:c r="V85" s="46"/>
      <x:c r="W85" s="31" t="str">
        <x:v>01/03/2024 $300.000</x:v>
      </x:c>
      <x:c r="X85" s="31" t="str">
        <x:v>NC</x:v>
      </x:c>
      <x:c r="Y85" s="31"/>
      <x:c r="Z85" s="41" t="b">
        <x:v>1</x:v>
      </x:c>
      <x:c r="AA85" s="31" t="str">
        <x:v>Valores distintos Hoja 1=300000 vs Hoja 2=650000</x:v>
      </x:c>
    </x:row>
    <x:row r="86">
      <x:c r="A86" s="31" t="str">
        <x:v>AR-085</x:v>
      </x:c>
      <x:c r="B86" s="31" t="n">
        <x:v>85</x:v>
      </x:c>
      <x:c r="C86" s="31" t="str">
        <x:v>Hoja1</x:v>
      </x:c>
      <x:c r="D86" s="31" t="n">
        <x:v>86</x:v>
      </x:c>
      <x:c r="E86" s="31" t="str">
        <x:v>AC 22 sur #12B-44 APTO 401 Barrio Ciudad Jardin</x:v>
      </x:c>
      <x:c r="F86" s="31" t="str">
        <x:v>Bogotá D.C.</x:v>
      </x:c>
      <x:c r="G86" s="31" t="str">
        <x:v>Ciudad Jardin</x:v>
      </x:c>
      <x:c r="H86" s="31" t="str"/>
      <x:c r="I86" s="31" t="str">
        <x:v>Jose Vicente Buitrago</x:v>
      </x:c>
      <x:c r="J86" s="31" t="str">
        <x:v>Eduard Alexander Meza Vargas</x:v>
      </x:c>
      <x:c r="K86" s="31"/>
      <x:c r="L86" s="31"/>
      <x:c r="M86" s="31"/>
      <x:c r="N86" s="31" t="str">
        <x:v>Eduard Alexander Meza Vargas</x:v>
      </x:c>
      <x:c r="O86" s="31" t="str">
        <x:v>Yulilat Dairys Perez Arias</x:v>
      </x:c>
      <x:c r="P86" s="31" t="str">
        <x:v>ACTIVE</x:v>
      </x:c>
      <x:c r="Q86" s="44" t="n">
        <x:v>400000</x:v>
      </x:c>
      <x:c r="R86" s="31" t="str">
        <x:v>Hoja 1 - Valor arrendatario</x:v>
      </x:c>
      <x:c r="S86" s="44"/>
      <x:c r="T86" s="31"/>
      <x:c r="U86" s="46" t="str">
        <x:v>2024-08-01</x:v>
      </x:c>
      <x:c r="V86" s="46"/>
      <x:c r="W86" s="31" t="str">
        <x:v>01/08/2024 $400.000</x:v>
      </x:c>
      <x:c r="X86" s="31" t="str">
        <x:v>NC</x:v>
      </x:c>
      <x:c r="Y86" s="31"/>
      <x:c r="Z86" s="41" t="b">
        <x:v>0</x:v>
      </x:c>
      <x:c r="AA86" s="31" t="str"/>
    </x:row>
    <x:row r="87">
      <x:c r="A87" s="31" t="str">
        <x:v>AR-086</x:v>
      </x:c>
      <x:c r="B87" s="31" t="n">
        <x:v>86</x:v>
      </x:c>
      <x:c r="C87" s="31" t="str">
        <x:v>Hoja1</x:v>
      </x:c>
      <x:c r="D87" s="31" t="n">
        <x:v>87</x:v>
      </x:c>
      <x:c r="E87" s="31" t="str">
        <x:v>CR 17 # 18 45 SUR</x:v>
      </x:c>
      <x:c r="F87" s="31" t="str">
        <x:v>Bogotá D.C.</x:v>
      </x:c>
      <x:c r="G87" s="31" t="str"/>
      <x:c r="H87" s="31" t="str"/>
      <x:c r="I87" s="31" t="str">
        <x:v>Serafin Mariño</x:v>
      </x:c>
      <x:c r="J87" s="31" t="str">
        <x:v>JENYFER DAYANA CASTILLO CORTEZ</x:v>
      </x:c>
      <x:c r="K87" s="31"/>
      <x:c r="L87" s="31"/>
      <x:c r="M87" s="31"/>
      <x:c r="N87" s="31" t="str">
        <x:v>JENYFER DAYANA CASTILLO CORTEZ </x:v>
      </x:c>
      <x:c r="O87" s="31" t="str">
        <x:v>LEONARDO ALBERTO ALFONSO RODRIGUEZ</x:v>
      </x:c>
      <x:c r="P87" s="31" t="str">
        <x:v>ACTIVE</x:v>
      </x:c>
      <x:c r="Q87" s="44" t="n">
        <x:v>1400000</x:v>
      </x:c>
      <x:c r="R87" s="31" t="str">
        <x:v>Hoja 2 - PAGOS</x:v>
      </x:c>
      <x:c r="S87" s="44" t="n">
        <x:v>1246000</x:v>
      </x:c>
      <x:c r="T87" s="31" t="str">
        <x:v>Hoja 2 - PAGO A PROPIETARIOS</x:v>
      </x:c>
      <x:c r="U87" s="46" t="str">
        <x:v>2024-11-01</x:v>
      </x:c>
      <x:c r="V87" s="46"/>
      <x:c r="W87" s="31" t="n">
        <x:v>45597</x:v>
      </x:c>
      <x:c r="X87" s="31"/>
      <x:c r="Y87" s="31" t="str">
        <x:v>$1.200.000</x:v>
      </x:c>
      <x:c r="Z87" s="41" t="b">
        <x:v>0</x:v>
      </x:c>
      <x:c r="AA87" s="31" t="str"/>
    </x:row>
    <x:row r="88">
      <x:c r="A88" s="31" t="str">
        <x:v>AR-087</x:v>
      </x:c>
      <x:c r="B88" s="31" t="n">
        <x:v>87</x:v>
      </x:c>
      <x:c r="C88" s="31" t="str">
        <x:v>Hoja1</x:v>
      </x:c>
      <x:c r="D88" s="31" t="n">
        <x:v>88</x:v>
      </x:c>
      <x:c r="E88" s="31" t="str">
        <x:v>CALLE 135 A # 9 A 20</x:v>
      </x:c>
      <x:c r="F88" s="31" t="str">
        <x:v>Bogotá D.C.</x:v>
      </x:c>
      <x:c r="G88" s="31" t="str"/>
      <x:c r="H88" s="31" t="str"/>
      <x:c r="I88" s="31" t="str">
        <x:v>Jose Vicente Buitrago</x:v>
      </x:c>
      <x:c r="J88" s="31" t="str">
        <x:v>DAYANA ANDREA LOPEZ ARIAS</x:v>
      </x:c>
      <x:c r="K88" s="31"/>
      <x:c r="L88" s="31"/>
      <x:c r="M88" s="31"/>
      <x:c r="N88" s="31" t="str">
        <x:v>DAYANA ANDREA LOPEZ ARIAS </x:v>
      </x:c>
      <x:c r="O88" s="31"/>
      <x:c r="P88" s="31" t="str">
        <x:v>ACTIVE</x:v>
      </x:c>
      <x:c r="Q88" s="44" t="n">
        <x:v>1000000</x:v>
      </x:c>
      <x:c r="R88" s="31" t="str">
        <x:v>Hoja1 - observaciones</x:v>
      </x:c>
      <x:c r="S88" s="44"/>
      <x:c r="T88" s="31"/>
      <x:c r="U88" s="46" t="str">
        <x:v>2024-11-01</x:v>
      </x:c>
      <x:c r="V88" s="46"/>
      <x:c r="W88" s="31" t="n">
        <x:v>45597</x:v>
      </x:c>
      <x:c r="X88" s="31"/>
      <x:c r="Y88" s="31" t="str">
        <x:v>$1.000.000</x:v>
      </x:c>
      <x:c r="Z88" s="41" t="b">
        <x:v>0</x:v>
      </x:c>
      <x:c r="AA88" s="31" t="str"/>
    </x:row>
    <x:row r="89">
      <x:c r="A89" s="31" t="str">
        <x:v>AR-088</x:v>
      </x:c>
      <x:c r="B89" s="31" t="n">
        <x:v>88</x:v>
      </x:c>
      <x:c r="C89" s="31" t="str">
        <x:v>Hoja1</x:v>
      </x:c>
      <x:c r="D89" s="31" t="n">
        <x:v>89</x:v>
      </x:c>
      <x:c r="E89" s="31" t="str">
        <x:v>CALLE 135 A # 9 A 20</x:v>
      </x:c>
      <x:c r="F89" s="31" t="str">
        <x:v>Bogotá D.C.</x:v>
      </x:c>
      <x:c r="G89" s="31" t="str"/>
      <x:c r="H89" s="31" t="str"/>
      <x:c r="I89" s="31" t="str">
        <x:v>Jose Vicente Buitrago</x:v>
      </x:c>
      <x:c r="J89" s="31" t="str">
        <x:v>GINETTE GUADALUPE RIVAS ARIAS</x:v>
      </x:c>
      <x:c r="K89" s="31"/>
      <x:c r="L89" s="31"/>
      <x:c r="M89" s="31"/>
      <x:c r="N89" s="31" t="str">
        <x:v>GINETTE GUADALUPE RIVAS ARIAS </x:v>
      </x:c>
      <x:c r="O89" s="31"/>
      <x:c r="P89" s="31" t="str">
        <x:v>ACTIVE</x:v>
      </x:c>
      <x:c r="Q89" s="44" t="n">
        <x:v>45328800</x:v>
      </x:c>
      <x:c r="R89" s="31" t="str">
        <x:v>Hoja 2 - PAGOS</x:v>
      </x:c>
      <x:c r="S89" s="44" t="n">
        <x:v>37695600</x:v>
      </x:c>
      <x:c r="T89" s="31" t="str">
        <x:v>Hoja 2 - PAGO A PROPIETARIOS</x:v>
      </x:c>
      <x:c r="U89" s="46" t="str">
        <x:v>2022-05-01</x:v>
      </x:c>
      <x:c r="V89" s="46"/>
      <x:c r="W89" s="31" t="n">
        <x:v>44682</x:v>
      </x:c>
      <x:c r="X89" s="31"/>
      <x:c r="Y89" s="31" t="str">
        <x:v>$1.000.000</x:v>
      </x:c>
      <x:c r="Z89" s="41" t="b">
        <x:v>0</x:v>
      </x:c>
      <x:c r="AA89" s="31" t="str"/>
    </x:row>
    <x:row r="90">
      <x:c r="A90" s="31" t="str">
        <x:v>AR-089</x:v>
      </x:c>
      <x:c r="B90" s="31" t="n">
        <x:v>89</x:v>
      </x:c>
      <x:c r="C90" s="31" t="str">
        <x:v>Hoja1</x:v>
      </x:c>
      <x:c r="D90" s="31" t="n">
        <x:v>90</x:v>
      </x:c>
      <x:c r="E90" s="31" t="str">
        <x:v>CARRERA 24 # 45 C - 62 LOCAL COMERCIAL 101 EDIFICIO CORONEL BARRIO GALERIAS</x:v>
      </x:c>
      <x:c r="F90" s="31" t="str">
        <x:v>Bogotá D.C.</x:v>
      </x:c>
      <x:c r="G90" s="31" t="str">
        <x:v>GALERIAS</x:v>
      </x:c>
      <x:c r="H90" s="31" t="str"/>
      <x:c r="I90" s="31" t="str">
        <x:v>MARIA GALERIAS</x:v>
      </x:c>
      <x:c r="J90" s="31" t="str">
        <x:v>ANDRES FELIPE FORERO DIAZ</x:v>
      </x:c>
      <x:c r="K90" s="31"/>
      <x:c r="L90" s="31"/>
      <x:c r="M90" s="31"/>
      <x:c r="N90" s="31" t="str">
        <x:v>ANDRES FELIPE FORERO DIAZ </x:v>
      </x:c>
      <x:c r="O90" s="31" t="str">
        <x:v>JORGE ENRIQUE FORERO CARDENAS </x:v>
      </x:c>
      <x:c r="P90" s="31" t="str">
        <x:v>ACTIVE</x:v>
      </x:c>
      <x:c r="Q90" s="44" t="n">
        <x:v>1550000</x:v>
      </x:c>
      <x:c r="R90" s="31" t="str">
        <x:v>Hoja1 - observaciones</x:v>
      </x:c>
      <x:c r="S90" s="44"/>
      <x:c r="T90" s="31"/>
      <x:c r="U90" s="46" t="str">
        <x:v>2024-09-01</x:v>
      </x:c>
      <x:c r="V90" s="46"/>
      <x:c r="W90" s="31" t="n">
        <x:v>45536</x:v>
      </x:c>
      <x:c r="X90" s="31"/>
      <x:c r="Y90" s="31" t="str">
        <x:v>$1.550.000</x:v>
      </x:c>
      <x:c r="Z90" s="41" t="b">
        <x:v>0</x:v>
      </x:c>
      <x:c r="AA90" s="31" t="str"/>
    </x:row>
    <x:row r="91">
      <x:c r="A91" s="31" t="str">
        <x:v>AR-090</x:v>
      </x:c>
      <x:c r="B91" s="31" t="n">
        <x:v>90</x:v>
      </x:c>
      <x:c r="C91" s="31" t="str">
        <x:v>Hoja1</x:v>
      </x:c>
      <x:c r="D91" s="31" t="n">
        <x:v>91</x:v>
      </x:c>
      <x:c r="E91" s="31" t="str">
        <x:v>CALLE 135 A # 9 A 20</x:v>
      </x:c>
      <x:c r="F91" s="31" t="str">
        <x:v>Bogotá D.C.</x:v>
      </x:c>
      <x:c r="G91" s="31" t="str"/>
      <x:c r="H91" s="31" t="str"/>
      <x:c r="I91" s="31" t="str">
        <x:v>Jose Vicente Buitrago</x:v>
      </x:c>
      <x:c r="J91" s="31" t="str">
        <x:v>WILIAN OMAR LIENDO ROSAS</x:v>
      </x:c>
      <x:c r="K91" s="31"/>
      <x:c r="L91" s="31"/>
      <x:c r="M91" s="31"/>
      <x:c r="N91" s="31" t="str">
        <x:v>WILIAN OMAR LIENDO ROSAS </x:v>
      </x:c>
      <x:c r="O91" s="31" t="str">
        <x:v>JOSE BARRETOS RIVAS, CELU DEL CARMEN FLEX ROVAINA Y FELIZ ANOTONIO PEÑA CAMPUSANO </x:v>
      </x:c>
      <x:c r="P91" s="31" t="str">
        <x:v>ACTIVE</x:v>
      </x:c>
      <x:c r="Q91" s="44" t="n">
        <x:v>2100000</x:v>
      </x:c>
      <x:c r="R91" s="31" t="str">
        <x:v>Hoja1 - observaciones</x:v>
      </x:c>
      <x:c r="S91" s="44"/>
      <x:c r="T91" s="31"/>
      <x:c r="U91" s="46" t="str">
        <x:v>2024-11-01</x:v>
      </x:c>
      <x:c r="V91" s="46"/>
      <x:c r="W91" s="31" t="n">
        <x:v>45597</x:v>
      </x:c>
      <x:c r="X91" s="31"/>
      <x:c r="Y91" s="31" t="str">
        <x:v>2.100.000</x:v>
      </x:c>
      <x:c r="Z91" s="41" t="b">
        <x:v>0</x:v>
      </x:c>
      <x:c r="AA91" s="31" t="str"/>
    </x:row>
    <x:row r="92">
      <x:c r="A92" s="31" t="str">
        <x:v>AR-091</x:v>
      </x:c>
      <x:c r="B92" s="31" t="n">
        <x:v>91</x:v>
      </x:c>
      <x:c r="C92" s="31" t="str">
        <x:v>Hoja1</x:v>
      </x:c>
      <x:c r="D92" s="31" t="n">
        <x:v>92</x:v>
      </x:c>
      <x:c r="E92" s="31" t="str">
        <x:v>Kra 12 D Bis #24-35 sur tercer piso Barrio San Jose Localidad Uribe Uribe</x:v>
      </x:c>
      <x:c r="F92" s="31" t="str">
        <x:v>Bogotá D.C.</x:v>
      </x:c>
      <x:c r="G92" s="31" t="str">
        <x:v>San Jose</x:v>
      </x:c>
      <x:c r="H92" s="31" t="str">
        <x:v>Uribe Uribe</x:v>
      </x:c>
      <x:c r="I92" s="31" t="str">
        <x:v>Roberto Selis</x:v>
      </x:c>
      <x:c r="J92" s="31" t="str">
        <x:v>Luis Salas</x:v>
      </x:c>
      <x:c r="K92" s="31" t="str">
        <x:v>26389708</x:v>
      </x:c>
      <x:c r="L92" s="31" t="str">
        <x:v>26389708</x:v>
      </x:c>
      <x:c r="M92" s="31"/>
      <x:c r="N92" s="31" t="str">
        <x:v>Luis Salas C.C. 26.389.708 (Barbero)</x:v>
      </x:c>
      <x:c r="O92" s="31" t="str">
        <x:v>Maria Salas Galvis C.C. 26.389.707, Jose Angel Contreras C.C. 25.977.205  y David Perez Marquez </x:v>
      </x:c>
      <x:c r="P92" s="31" t="str">
        <x:v>ACTIVE</x:v>
      </x:c>
      <x:c r="Q92" s="44" t="n">
        <x:v>750000</x:v>
      </x:c>
      <x:c r="R92" s="31" t="str">
        <x:v>Hoja1 - contrato/canon</x:v>
      </x:c>
      <x:c r="S92" s="44" t="n">
        <x:v>600000</x:v>
      </x:c>
      <x:c r="T92" s="31" t="str">
        <x:v>Hoja 1 propietarios fila 94</x:v>
      </x:c>
      <x:c r="U92" s="46" t="str">
        <x:v>2021-02-01</x:v>
      </x:c>
      <x:c r="V92" s="46"/>
      <x:c r="W92" s="31" t="str">
        <x:v>01/02/2021 $750.000 X 12 MESES local</x:v>
      </x:c>
      <x:c r="X92" s="31" t="str">
        <x:v>AC</x:v>
      </x:c>
      <x:c r="Y92" s="31" t="str">
        <x:v>PAGO AGOSTO 2024 / 700.000 </x:v>
      </x:c>
      <x:c r="Z92" s="41" t="b">
        <x:v>0</x:v>
      </x:c>
      <x:c r="AA92" s="31" t="str"/>
    </x:row>
    <x:row r="93">
      <x:c r="A93" s="31" t="str">
        <x:v>AR-092</x:v>
      </x:c>
      <x:c r="B93" s="31" t="n">
        <x:v>92</x:v>
      </x:c>
      <x:c r="C93" s="31" t="str">
        <x:v>Hoja1</x:v>
      </x:c>
      <x:c r="D93" s="31" t="n">
        <x:v>93</x:v>
      </x:c>
      <x:c r="E93" s="31" t="str">
        <x:v>CALLE 135 A 9 A 20</x:v>
      </x:c>
      <x:c r="F93" s="31" t="str">
        <x:v>Bogotá D.C.</x:v>
      </x:c>
      <x:c r="G93" s="31" t="str"/>
      <x:c r="H93" s="31" t="str"/>
      <x:c r="I93" s="31" t="str">
        <x:v>Jose Vicente Buitrago</x:v>
      </x:c>
      <x:c r="J93" s="31" t="str">
        <x:v>CATALINA SOLORZANO JARAMILLO</x:v>
      </x:c>
      <x:c r="K93" s="31"/>
      <x:c r="L93" s="31"/>
      <x:c r="M93" s="31"/>
      <x:c r="N93" s="31" t="str">
        <x:v>CATALINA SOLORZANO JARAMILLO</x:v>
      </x:c>
      <x:c r="O93" s="31" t="str">
        <x:v>NA</x:v>
      </x:c>
      <x:c r="P93" s="31" t="str">
        <x:v>ACTIVE</x:v>
      </x:c>
      <x:c r="Q93" s="44" t="n">
        <x:v>1150000</x:v>
      </x:c>
      <x:c r="R93" s="31" t="str">
        <x:v>Hoja1 - contrato/canon</x:v>
      </x:c>
      <x:c r="S93" s="44"/>
      <x:c r="T93" s="31"/>
      <x:c r="U93" s="46" t="str">
        <x:v>2025-08-01</x:v>
      </x:c>
      <x:c r="V93" s="46"/>
      <x:c r="W93" s="31" t="str">
        <x:v>01/08/2025 $ 1.150.000 X 06 MESES</x:v>
      </x:c>
      <x:c r="X93" s="31"/>
      <x:c r="Y93" s="31"/>
      <x:c r="Z93" s="41" t="b">
        <x:v>0</x:v>
      </x:c>
      <x:c r="AA93" s="31" t="str"/>
    </x:row>
  </x:sheetData>
  <x:conditionalFormatting sqref="Z2:Z93">
    <x:cfRule type="expression" dxfId="0" priority="1">
      <x:formula>Z2=TRUE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7bd5a0d72149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28" hidden="0" customWidth="1"/>
    <x:col min="4" max="4" width="28" hidden="0" customWidth="1"/>
    <x:col min="5" max="5" width="55" hidden="0" customWidth="1"/>
    <x:col min="6" max="6" width="22" hidden="0" customWidth="1"/>
    <x:col min="7" max="7" width="22" hidden="0" customWidth="1"/>
  </x:cols>
  <x:sheetData>
    <x:row r="1">
      <x:c r="A1" s="52" t="str">
        <x:v>sourceSheet</x:v>
      </x:c>
      <x:c r="B1" s="52" t="str">
        <x:v>sourceRow</x:v>
      </x:c>
      <x:c r="C1" s="52" t="str">
        <x:v>ownerName</x:v>
      </x:c>
      <x:c r="D1" s="52" t="str">
        <x:v>ownerNormalized</x:v>
      </x:c>
      <x:c r="E1" s="52" t="str">
        <x:v>address</x:v>
      </x:c>
      <x:c r="F1" s="52" t="str">
        <x:v>ownerExpectedPayout</x:v>
      </x:c>
      <x:c r="G1" s="52" t="str">
        <x:v>note</x:v>
      </x:c>
    </x:row>
    <x:row r="2">
      <x:c r="A2" s="31" t="str">
        <x:v>Hoja 1</x:v>
      </x:c>
      <x:c r="B2" s="31" t="n">
        <x:v>92</x:v>
      </x:c>
      <x:c r="C2" s="31" t="str">
        <x:v>Luz Herminda</x:v>
      </x:c>
      <x:c r="D2" s="31" t="str">
        <x:v>luz herminda</x:v>
      </x:c>
      <x:c r="E2" s="31" t="str">
        <x:v>Kra 2 #6F-38 APT 101 Barrio Belen</x:v>
      </x:c>
      <x:c r="F2" s="44" t="n">
        <x:v>600000</x:v>
      </x:c>
      <x:c r="G2" s="31"/>
    </x:row>
    <x:row r="3">
      <x:c r="A3" s="31" t="str">
        <x:v>Hoja 1</x:v>
      </x:c>
      <x:c r="B3" s="31" t="n">
        <x:v>93</x:v>
      </x:c>
      <x:c r="C3" s="31" t="str">
        <x:v>Luz Herminda</x:v>
      </x:c>
      <x:c r="D3" s="31" t="str">
        <x:v>luz herminda</x:v>
      </x:c>
      <x:c r="E3" s="31" t="str">
        <x:v>Cra 27 #5B-27 sur Apto 201 Santa Isabel</x:v>
      </x:c>
      <x:c r="F3" s="44" t="n">
        <x:v>900000</x:v>
      </x:c>
      <x:c r="G3" s="31"/>
    </x:row>
    <x:row r="4">
      <x:c r="A4" s="31" t="str">
        <x:v>Hoja 1</x:v>
      </x:c>
      <x:c r="B4" s="31" t="n">
        <x:v>94</x:v>
      </x:c>
      <x:c r="C4" s="31" t="str">
        <x:v>Roberto Selis</x:v>
      </x:c>
      <x:c r="D4" s="31" t="str">
        <x:v>roberto selis</x:v>
      </x:c>
      <x:c r="E4" s="31" t="str">
        <x:v>Kra 12 D Bis #24-35 sur tercer piso Barrio San Jose</x:v>
      </x:c>
      <x:c r="F4" s="44" t="n">
        <x:v>600000</x:v>
      </x:c>
      <x:c r="G4" s="31" t="str">
        <x:v> </x:v>
      </x:c>
    </x:row>
    <x:row r="5">
      <x:c r="A5" s="31" t="str">
        <x:v>Hoja 1</x:v>
      </x:c>
      <x:c r="B5" s="31" t="n">
        <x:v>95</x:v>
      </x:c>
      <x:c r="C5" s="31" t="str">
        <x:v>Roberto Selis</x:v>
      </x:c>
      <x:c r="D5" s="31" t="str">
        <x:v>roberto selis</x:v>
      </x:c>
      <x:c r="E5" s="31" t="str">
        <x:v>Cra 12D Bis #24-35 sur</x:v>
      </x:c>
      <x:c r="F5" s="44" t="n">
        <x:v>800000</x:v>
      </x:c>
      <x:c r="G5" s="31"/>
    </x:row>
    <x:row r="6">
      <x:c r="A6" s="31" t="str">
        <x:v>Hoja 1</x:v>
      </x:c>
      <x:c r="B6" s="31" t="n">
        <x:v>96</x:v>
      </x:c>
      <x:c r="C6" s="31" t="str">
        <x:v>Roberto Selis</x:v>
      </x:c>
      <x:c r="D6" s="31" t="str">
        <x:v>roberto selis</x:v>
      </x:c>
      <x:c r="E6" s="31" t="str">
        <x:v>Cra 12D Bis #24-35 sur B.S Jose L. Uribe</x:v>
      </x:c>
      <x:c r="F6" s="44" t="n">
        <x:v>850000</x:v>
      </x:c>
      <x:c r="G6" s="31"/>
    </x:row>
    <x:row r="7">
      <x:c r="A7" s="31" t="str">
        <x:v>Hoja 1</x:v>
      </x:c>
      <x:c r="B7" s="31" t="n">
        <x:v>98</x:v>
      </x:c>
      <x:c r="C7" s="31" t="str">
        <x:v>Roberto Selis</x:v>
      </x:c>
      <x:c r="D7" s="31" t="str">
        <x:v>roberto selis</x:v>
      </x:c>
      <x:c r="E7" s="31" t="str">
        <x:v>Cra 12 B BIS #24-35 sur Barrio San Jose</x:v>
      </x:c>
      <x:c r="F7" s="44" t="n">
        <x:v>1180000</x:v>
      </x:c>
      <x:c r="G7" s="31"/>
    </x:row>
    <x:row r="8">
      <x:c r="A8" s="31" t="str">
        <x:v>Hoja 1</x:v>
      </x:c>
      <x:c r="B8" s="31" t="n">
        <x:v>99</x:v>
      </x:c>
      <x:c r="C8" s="31" t="str">
        <x:v>Roberto Selis</x:v>
      </x:c>
      <x:c r="D8" s="31" t="str">
        <x:v>roberto selis</x:v>
      </x:c>
      <x:c r="E8" s="31" t="str">
        <x:v>Calle 25 sur #12F-38 Apto 202</x:v>
      </x:c>
      <x:c r="F8" s="44" t="n">
        <x:v>700000</x:v>
      </x:c>
      <x:c r="G8" s="31"/>
    </x:row>
    <x:row r="9">
      <x:c r="A9" s="31" t="str">
        <x:v>Hoja 1</x:v>
      </x:c>
      <x:c r="B9" s="31" t="n">
        <x:v>100</x:v>
      </x:c>
      <x:c r="C9" s="31" t="str">
        <x:v>Serafin Mariño</x:v>
      </x:c>
      <x:c r="D9" s="31" t="str">
        <x:v>serafin marino</x:v>
      </x:c>
      <x:c r="E9" s="31" t="str">
        <x:v>Kra 17 #18-45 Sur Apt 101 Barrio Restrepo</x:v>
      </x:c>
      <x:c r="F9" s="44" t="n">
        <x:v>682000</x:v>
      </x:c>
      <x:c r="G9" s="31"/>
    </x:row>
    <x:row r="10">
      <x:c r="A10" s="31" t="str">
        <x:v>Hoja 1</x:v>
      </x:c>
      <x:c r="B10" s="31" t="n">
        <x:v>101</x:v>
      </x:c>
      <x:c r="C10" s="31" t="str">
        <x:v>Serafin Mariño</x:v>
      </x:c>
      <x:c r="D10" s="31" t="str">
        <x:v>serafin marino</x:v>
      </x:c>
      <x:c r="E10" s="31" t="str">
        <x:v>Cra 17 #18-47 sur Local Localidad Antonio Nariño</x:v>
      </x:c>
      <x:c r="F10" s="44" t="n">
        <x:v>1100000</x:v>
      </x:c>
      <x:c r="G10" s="31"/>
    </x:row>
    <x:row r="11">
      <x:c r="A11" s="31" t="str">
        <x:v>Hoja 1</x:v>
      </x:c>
      <x:c r="B11" s="31" t="n">
        <x:v>102</x:v>
      </x:c>
      <x:c r="C11" s="31" t="str">
        <x:v>Serafin Mariño</x:v>
      </x:c>
      <x:c r="D11" s="31" t="str">
        <x:v>serafin marino</x:v>
      </x:c>
      <x:c r="E11" s="31" t="str">
        <x:v>Cra 17 #18-49 sur Restrepo Localidad Antonio Nariño</x:v>
      </x:c>
      <x:c r="F11" s="44" t="n">
        <x:v>960000</x:v>
      </x:c>
      <x:c r="G11" s="31"/>
    </x:row>
    <x:row r="12">
      <x:c r="A12" s="31" t="str">
        <x:v>Hoja 1</x:v>
      </x:c>
      <x:c r="B12" s="31" t="n">
        <x:v>103</x:v>
      </x:c>
      <x:c r="C12" s="31" t="str">
        <x:v>Estella Velez</x:v>
      </x:c>
      <x:c r="D12" s="31" t="str">
        <x:v>estella velez</x:v>
      </x:c>
      <x:c r="E12" s="31" t="str">
        <x:v>Calle 26 B sur #12-24 Apto 301  Local Cra 12 Bis #26A-39</x:v>
      </x:c>
      <x:c r="F12" s="44" t="n">
        <x:v>1780000</x:v>
      </x:c>
      <x:c r="G12" s="31"/>
    </x:row>
    <x:row r="13">
      <x:c r="A13" s="31" t="str">
        <x:v>Hoja 1</x:v>
      </x:c>
      <x:c r="B13" s="31" t="n">
        <x:v>104</x:v>
      </x:c>
      <x:c r="C13" s="31" t="str">
        <x:v>Manuel Rojas</x:v>
      </x:c>
      <x:c r="D13" s="31" t="str">
        <x:v>manuel rojas</x:v>
      </x:c>
      <x:c r="E13" s="31" t="str">
        <x:v>Calle 19 sur #12C-33 Apto 201 Barrio Ciudad Jardin</x:v>
      </x:c>
      <x:c r="F13" s="44" t="n">
        <x:v>800000</x:v>
      </x:c>
      <x:c r="G13" s="31"/>
    </x:row>
    <x:row r="14">
      <x:c r="A14" s="31" t="str">
        <x:v>Hoja 1</x:v>
      </x:c>
      <x:c r="B14" s="31" t="n">
        <x:v>105</x:v>
      </x:c>
      <x:c r="C14" s="31" t="str">
        <x:v>Luis Roberto</x:v>
      </x:c>
      <x:c r="D14" s="31" t="str">
        <x:v>luis roberto</x:v>
      </x:c>
      <x:c r="E14" s="31" t="str">
        <x:v>Carrera 12 D Bis #24-63 sur Apto 403 Jose Obrero</x:v>
      </x:c>
      <x:c r="F14" s="44" t="n">
        <x:v>1100000</x:v>
      </x:c>
      <x:c r="G14" s="31"/>
    </x:row>
    <x:row r="15">
      <x:c r="A15" s="31" t="str">
        <x:v>Hoja 1</x:v>
      </x:c>
      <x:c r="B15" s="31" t="n">
        <x:v>106</x:v>
      </x:c>
      <x:c r="C15" s="31" t="str">
        <x:v>Rosa Fonseca</x:v>
      </x:c>
      <x:c r="D15" s="31" t="str">
        <x:v>rosa fonseca</x:v>
      </x:c>
      <x:c r="E15" s="31" t="str">
        <x:v>Cra 40 #30-42 sur Apto 102</x:v>
      </x:c>
      <x:c r="F15" s="44" t="n">
        <x:v>900000</x:v>
      </x:c>
      <x:c r="G15" s="31"/>
    </x:row>
    <x:row r="16">
      <x:c r="A16" s="31" t="str">
        <x:v>Hoja 1</x:v>
      </x:c>
      <x:c r="B16" s="31" t="n">
        <x:v>107</x:v>
      </x:c>
      <x:c r="C16" s="31" t="str">
        <x:v>Rosa Fonseca</x:v>
      </x:c>
      <x:c r="D16" s="31" t="str">
        <x:v>rosa fonseca</x:v>
      </x:c>
      <x:c r="E16" s="31" t="str">
        <x:v>Cra 40 #30-42 sur Apto 201</x:v>
      </x:c>
      <x:c r="F16" s="44" t="n">
        <x:v>820000</x:v>
      </x:c>
      <x:c r="G16" s="31"/>
    </x:row>
    <x:row r="17">
      <x:c r="A17" s="31" t="str">
        <x:v>Hoja 1</x:v>
      </x:c>
      <x:c r="B17" s="31" t="n">
        <x:v>108</x:v>
      </x:c>
      <x:c r="C17" s="31" t="str">
        <x:v>Rosa Fonseca</x:v>
      </x:c>
      <x:c r="D17" s="31" t="str">
        <x:v>rosa fonseca</x:v>
      </x:c>
      <x:c r="E17" s="31" t="str">
        <x:v>Cra 40 #30-42 sur Apto 102 Barrio Santa Rita</x:v>
      </x:c>
      <x:c r="F17" s="44" t="n">
        <x:v>650000</x:v>
      </x:c>
      <x:c r="G17" s="31"/>
    </x:row>
    <x:row r="18">
      <x:c r="A18" s="31" t="str">
        <x:v>Hoja 1</x:v>
      </x:c>
      <x:c r="B18" s="31" t="n">
        <x:v>109</x:v>
      </x:c>
      <x:c r="C18" s="31" t="str">
        <x:v>Rosa Fonseca</x:v>
      </x:c>
      <x:c r="D18" s="31" t="str">
        <x:v>rosa fonseca</x:v>
      </x:c>
      <x:c r="E18" s="31" t="str">
        <x:v>Cra 40 #30-42 sur Barrio Santa Rita</x:v>
      </x:c>
      <x:c r="F18" s="44" t="n">
        <x:v>650000</x:v>
      </x:c>
      <x:c r="G18" s="31"/>
    </x:row>
    <x:row r="19">
      <x:c r="A19" s="31" t="str">
        <x:v>Hoja 1</x:v>
      </x:c>
      <x:c r="B19" s="31" t="n">
        <x:v>110</x:v>
      </x:c>
      <x:c r="C19" s="31" t="str">
        <x:v>Rosa Fonseca</x:v>
      </x:c>
      <x:c r="D19" s="31" t="str">
        <x:v>rosa fonseca</x:v>
      </x:c>
      <x:c r="E19" s="31" t="str">
        <x:v>Cra 40 #30-42 sur Barrio Santa Rita</x:v>
      </x:c>
      <x:c r="F19" s="44" t="n">
        <x:v>740000</x:v>
      </x:c>
      <x:c r="G19" s="31"/>
    </x:row>
    <x:row r="20">
      <x:c r="A20" s="31" t="str">
        <x:v>Hoja 1</x:v>
      </x:c>
      <x:c r="B20" s="31" t="n">
        <x:v>111</x:v>
      </x:c>
      <x:c r="C20" s="31" t="str">
        <x:v>Familia Onzaga</x:v>
      </x:c>
      <x:c r="D20" s="31" t="str">
        <x:v>familia onzaga</x:v>
      </x:c>
      <x:c r="E20" s="31" t="str">
        <x:v>Cra 12D Bis #24-55 Sur Barrio San Jose Local Comercial</x:v>
      </x:c>
      <x:c r="F20" s="44" t="n">
        <x:v>800000</x:v>
      </x:c>
      <x:c r="G20" s="31"/>
    </x:row>
    <x:row r="21">
      <x:c r="A21" s="31" t="str">
        <x:v>Hoja 1</x:v>
      </x:c>
      <x:c r="B21" s="31" t="n">
        <x:v>112</x:v>
      </x:c>
      <x:c r="C21" s="31" t="str">
        <x:v>Adiela Florez</x:v>
      </x:c>
      <x:c r="D21" s="31" t="str">
        <x:v>adiela florez</x:v>
      </x:c>
      <x:c r="E21" s="31" t="str">
        <x:v>Calle 152B #58C-50 Conjunto residencial colinas de cantabdia Apto 404 torre 11 manzana8</x:v>
      </x:c>
      <x:c r="F21" s="44" t="n">
        <x:v>1450000</x:v>
      </x:c>
      <x:c r="G21" s="31"/>
    </x:row>
    <x:row r="22">
      <x:c r="A22" s="31" t="str">
        <x:v>Hoja 1</x:v>
      </x:c>
      <x:c r="B22" s="31" t="n">
        <x:v>113</x:v>
      </x:c>
      <x:c r="C22" s="31" t="str">
        <x:v>Adiela Florez</x:v>
      </x:c>
      <x:c r="D22" s="31" t="str">
        <x:v>adiela florez</x:v>
      </x:c>
      <x:c r="E22" s="31" t="str">
        <x:v>Portales del Prado Calle 128 #4B-26 Apto 501 Int 11</x:v>
      </x:c>
      <x:c r="F22" s="44" t="n">
        <x:v>1180000</x:v>
      </x:c>
      <x:c r="G22" s="31"/>
    </x:row>
    <x:row r="23">
      <x:c r="A23" s="31" t="str">
        <x:v>Hoja 1</x:v>
      </x:c>
      <x:c r="B23" s="31" t="n">
        <x:v>114</x:v>
      </x:c>
      <x:c r="C23" s="31" t="str">
        <x:v>Gladys Aldana</x:v>
      </x:c>
      <x:c r="D23" s="31" t="str">
        <x:v>gladys aldana</x:v>
      </x:c>
      <x:c r="E23" s="31" t="str">
        <x:v>Cra 17 #19B -08 Cuarto Piso Barrio Restrepo Localidad Antonio Nariño</x:v>
      </x:c>
      <x:c r="F23" s="44" t="n">
        <x:v>740000</x:v>
      </x:c>
      <x:c r="G23" s="31"/>
    </x:row>
    <x:row r="24">
      <x:c r="A24" s="31" t="str">
        <x:v>Hoja 1</x:v>
      </x:c>
      <x:c r="B24" s="31" t="n">
        <x:v>115</x:v>
      </x:c>
      <x:c r="C24" s="31" t="str">
        <x:v>Fernando Cristancho</x:v>
      </x:c>
      <x:c r="D24" s="31" t="str">
        <x:v>fernando cristancho</x:v>
      </x:c>
      <x:c r="E24" s="31" t="str">
        <x:v>Calle 23 sur #10D-34 Apto 101</x:v>
      </x:c>
      <x:c r="F24" s="44" t="n">
        <x:v>600000</x:v>
      </x:c>
      <x:c r="G24" s="31"/>
    </x:row>
    <x:row r="25">
      <x:c r="A25" s="31" t="str">
        <x:v>Hoja 1</x:v>
      </x:c>
      <x:c r="B25" s="31" t="n">
        <x:v>116</x:v>
      </x:c>
      <x:c r="C25" s="31" t="str">
        <x:v>Dro. Trivino</x:v>
      </x:c>
      <x:c r="D25" s="31" t="str">
        <x:v>dro trivino</x:v>
      </x:c>
      <x:c r="E25" s="31" t="str">
        <x:v>Calle 7 #7-24 sur Barrio San Cayetano apto 201</x:v>
      </x:c>
      <x:c r="F25" s="44" t="n">
        <x:v>1200000</x:v>
      </x:c>
      <x:c r="G25" s="31"/>
    </x:row>
    <x:row r="26">
      <x:c r="A26" s="31" t="str">
        <x:v>Hoja 1</x:v>
      </x:c>
      <x:c r="B26" s="31" t="n">
        <x:v>117</x:v>
      </x:c>
      <x:c r="C26" s="31" t="str">
        <x:v>Luis Roberto Dulcey</x:v>
      </x:c>
      <x:c r="D26" s="31" t="str">
        <x:v>luis roberto dulcey</x:v>
      </x:c>
      <x:c r="E26" s="31" t="str">
        <x:v>Cra 12D Bis #24-63  Sur L. Uribe</x:v>
      </x:c>
      <x:c r="F26" s="44" t="n">
        <x:v>6050000</x:v>
      </x:c>
      <x:c r="G26" s="31"/>
    </x:row>
    <x:row r="27">
      <x:c r="A27" s="31" t="str">
        <x:v>Hoja 1</x:v>
      </x:c>
      <x:c r="B27" s="31" t="n">
        <x:v>118</x:v>
      </x:c>
      <x:c r="C27" s="31" t="str">
        <x:v>Marco Aurelio Roa</x:v>
      </x:c>
      <x:c r="D27" s="31" t="str">
        <x:v>marco aurelio roa</x:v>
      </x:c>
      <x:c r="E27" s="31" t="str">
        <x:v>Cra 10 Bis #16-30 sur Apto 101 Antonio Nariño</x:v>
      </x:c>
      <x:c r="F27" s="44" t="n">
        <x:v>1092800</x:v>
      </x:c>
      <x:c r="G27" s="31"/>
    </x:row>
    <x:row r="28">
      <x:c r="A28" s="31" t="str">
        <x:v>Hoja 1</x:v>
      </x:c>
      <x:c r="B28" s="31" t="n">
        <x:v>119</x:v>
      </x:c>
      <x:c r="C28" s="31" t="str">
        <x:v>Carlos Lavanderia</x:v>
      </x:c>
      <x:c r="D28" s="31" t="str">
        <x:v>carlos lavanderia</x:v>
      </x:c>
      <x:c r="E28" s="31" t="str">
        <x:v>Cra 12 D #24-52 sur Bodega 1 piso</x:v>
      </x:c>
      <x:c r="F28" s="44" t="n">
        <x:v>1500000</x:v>
      </x:c>
      <x:c r="G28" s="31"/>
    </x:row>
    <x:row r="29">
      <x:c r="A29" s="31" t="str">
        <x:v>Hoja 1</x:v>
      </x:c>
      <x:c r="B29" s="31" t="n">
        <x:v>120</x:v>
      </x:c>
      <x:c r="C29" s="31" t="str">
        <x:v>Carlos Lavanderia</x:v>
      </x:c>
      <x:c r="D29" s="31" t="str">
        <x:v>carlos lavanderia</x:v>
      </x:c>
      <x:c r="E29" s="31" t="str">
        <x:v>Cra 12D #24-52 sur B.S Jose o L URIBE</x:v>
      </x:c>
      <x:c r="F29" s="44" t="n">
        <x:v>1284000</x:v>
      </x:c>
      <x:c r="G29" s="31"/>
    </x:row>
    <x:row r="30">
      <x:c r="A30" s="31" t="str">
        <x:v>Hoja 1</x:v>
      </x:c>
      <x:c r="B30" s="31" t="n">
        <x:v>121</x:v>
      </x:c>
      <x:c r="C30" s="31" t="str">
        <x:v>Carlos Lavanderia</x:v>
      </x:c>
      <x:c r="D30" s="31" t="str">
        <x:v>carlos lavanderia</x:v>
      </x:c>
      <x:c r="E30" s="31" t="str">
        <x:v>Cra 12D BIS #24-52 sur Local Comercial S JOSE OBRERO Localidad Uribe Uribe</x:v>
      </x:c>
      <x:c r="F30" s="44" t="n">
        <x:v>1500000</x:v>
      </x:c>
      <x:c r="G30" s="31"/>
    </x:row>
    <x:row r="31">
      <x:c r="A31" s="31" t="str">
        <x:v>Hoja 1</x:v>
      </x:c>
      <x:c r="B31" s="31" t="n">
        <x:v>122</x:v>
      </x:c>
      <x:c r="C31" s="31" t="str">
        <x:v>Esperanza y/o Manuel</x:v>
      </x:c>
      <x:c r="D31" s="31" t="str">
        <x:v>esperanza y o manuel</x:v>
      </x:c>
      <x:c r="E31" s="31" t="str">
        <x:v>Cra 27 #7-87 Barrio Ricaurte</x:v>
      </x:c>
      <x:c r="F31" s="44" t="n">
        <x:v>2700000</x:v>
      </x:c>
      <x:c r="G31" s="31"/>
    </x:row>
    <x:row r="32">
      <x:c r="A32" s="31" t="str">
        <x:v>Hoja 1</x:v>
      </x:c>
      <x:c r="B32" s="31" t="n">
        <x:v>123</x:v>
      </x:c>
      <x:c r="C32" s="31" t="str">
        <x:v>Luis</x:v>
      </x:c>
      <x:c r="D32" s="31" t="str">
        <x:v>luis</x:v>
      </x:c>
      <x:c r="E32" s="31" t="str">
        <x:v>Calle 47 #57H-36 Casa G Rincon de S Nicolas</x:v>
      </x:c>
      <x:c r="F32" s="44" t="n">
        <x:v>500000</x:v>
      </x:c>
      <x:c r="G32" s="31"/>
    </x:row>
    <x:row r="33">
      <x:c r="A33" s="31" t="str">
        <x:v>Hoja 1</x:v>
      </x:c>
      <x:c r="B33" s="31" t="n">
        <x:v>124</x:v>
      </x:c>
      <x:c r="C33" s="31" t="str">
        <x:v>Patricia Diaz / Jaime Diaz</x:v>
      </x:c>
      <x:c r="D33" s="31" t="str">
        <x:v>patricia diaz jaime diaz</x:v>
      </x:c>
      <x:c r="E33" s="31" t="str">
        <x:v>Cra 24 #45C -60 Palermo l.c Chapinero</x:v>
      </x:c>
      <x:c r="F33" s="44" t="n">
        <x:v>1760000</x:v>
      </x:c>
      <x:c r="G33" s="31"/>
    </x:row>
    <x:row r="34">
      <x:c r="A34" s="31" t="str">
        <x:v>Hoja 1</x:v>
      </x:c>
      <x:c r="B34" s="31" t="n">
        <x:v>125</x:v>
      </x:c>
      <x:c r="C34" s="31" t="str">
        <x:v>Mirian Aldana</x:v>
      </x:c>
      <x:c r="D34" s="31" t="str">
        <x:v>mirian aldana</x:v>
      </x:c>
      <x:c r="E34" s="31" t="str">
        <x:v>Kra 12D #19-58 sur primer piso 101 Ciudad Jardin</x:v>
      </x:c>
      <x:c r="F34" s="44" t="n">
        <x:v>900000</x:v>
      </x:c>
      <x:c r="G34" s="31"/>
    </x:row>
    <x:row r="35">
      <x:c r="A35" s="31" t="str">
        <x:v>Hoja 1</x:v>
      </x:c>
      <x:c r="B35" s="31" t="n">
        <x:v>126</x:v>
      </x:c>
      <x:c r="C35" s="31" t="str">
        <x:v>Mirian Aldana</x:v>
      </x:c>
      <x:c r="D35" s="31" t="str">
        <x:v>mirian aldana</x:v>
      </x:c>
      <x:c r="E35" s="31" t="str">
        <x:v>CRA 12 D #19-55 CIUDAD JARDIN</x:v>
      </x:c>
      <x:c r="F35" s="44" t="n">
        <x:v>1000000</x:v>
      </x:c>
      <x:c r="G35" s="31"/>
    </x:row>
    <x:row r="36">
      <x:c r="A36" s="31" t="str">
        <x:v>Hoja 1</x:v>
      </x:c>
      <x:c r="B36" s="31" t="n">
        <x:v>127</x:v>
      </x:c>
      <x:c r="C36" s="31" t="str">
        <x:v>Rosa Elvira Montenegro (colegio)</x:v>
      </x:c>
      <x:c r="D36" s="31" t="str">
        <x:v>rosa elvira montenegro colegio</x:v>
      </x:c>
      <x:c r="E36" s="31" t="str">
        <x:v>Calle 19 sur #13-22 Casa Barrio Ciudad Jardin Localidad Antonio Nariño</x:v>
      </x:c>
      <x:c r="F36" s="44" t="n">
        <x:v>2500000</x:v>
      </x:c>
      <x:c r="G36" s="31"/>
    </x:row>
  </x:sheetData>
  <x:pageMargins left="0.7" right="0.7" top="0.75" bottom="0.75" header="0.3" footer="0.3"/>
  <x:tableParts count="1">
    <x:tablePart xmlns:r="http://schemas.openxmlformats.org/officeDocument/2006/relationships" r:id="R49b8cb8f521e4f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65" hidden="0" customWidth="1"/>
  </x:cols>
  <x:sheetData>
    <x:row r="1">
      <x:c r="A1" s="58" t="str">
        <x:v>legacyCode</x:v>
      </x:c>
      <x:c r="B1" s="58" t="str">
        <x:v>sourceRow</x:v>
      </x:c>
      <x:c r="C1" s="58" t="str">
        <x:v>address</x:v>
      </x:c>
      <x:c r="D1" s="58" t="str">
        <x:v>ownerName</x:v>
      </x:c>
      <x:c r="E1" s="58" t="str">
        <x:v>tenantName</x:v>
      </x:c>
      <x:c r="F1" s="58" t="str">
        <x:v>expectedPayment</x:v>
      </x:c>
      <x:c r="G1" s="58" t="str">
        <x:v>leaseStatus</x:v>
      </x:c>
      <x:c r="H1" s="58" t="str">
        <x:v>reviewFlags</x:v>
      </x:c>
    </x:row>
    <x:row r="2">
      <x:c r="A2" s="31" t="str">
        <x:v>AR-001</x:v>
      </x:c>
      <x:c r="B2" s="31" t="n">
        <x:v>2</x:v>
      </x:c>
      <x:c r="C2" s="31" t="str">
        <x:v>Kra 2 #6F-38 APT 101 Barrio Belen localidad candelaria</x:v>
      </x:c>
      <x:c r="D2" s="31" t="str">
        <x:v>Luz Herminda</x:v>
      </x:c>
      <x:c r="E2" s="31" t="str">
        <x:v>Camilo Andres Oquendo Barrios</x:v>
      </x:c>
      <x:c r="F2" s="44" t="n">
        <x:v>600000</x:v>
      </x:c>
      <x:c r="G2" s="31" t="str">
        <x:v>ACTIVE</x:v>
      </x:c>
      <x:c r="H2" s="31" t="str">
        <x:v>Valor esperado 600000 no coincide con canon bruto 780000</x:v>
      </x:c>
    </x:row>
    <x:row r="3">
      <x:c r="A3" s="31" t="str">
        <x:v>AR-002</x:v>
      </x:c>
      <x:c r="B3" s="31" t="n">
        <x:v>3</x:v>
      </x:c>
      <x:c r="C3" s="31" t="str">
        <x:v>Kra 12 D Bis #24-35 sur tercer piso Barrio San Jose Localidad Uribe Uribe</x:v>
      </x:c>
      <x:c r="D3" s="31" t="str">
        <x:v>Roberto Selis</x:v>
      </x:c>
      <x:c r="E3" s="31" t="str">
        <x:v>Luis Salas (Barbero)</x:v>
      </x:c>
      <x:c r="F3" s="44" t="n">
        <x:v>600000</x:v>
      </x:c>
      <x:c r="G3" s="31" t="str">
        <x:v>ACTIVE</x:v>
      </x:c>
      <x:c r="H3" s="31" t="str">
        <x:v>Valores distintos Hoja 1=600000 vs Hoja 2=700000 | Valor esperado 600000 no coincide con canon bruto 750000</x:v>
      </x:c>
    </x:row>
    <x:row r="4">
      <x:c r="A4" s="31" t="str">
        <x:v>AR-005</x:v>
      </x:c>
      <x:c r="B4" s="31" t="n">
        <x:v>6</x:v>
      </x:c>
      <x:c r="C4" s="31" t="str">
        <x:v>AC 22 sur #12B-44 Apto 601 Barrio Ciudad Jardin Localidad Antonio Nariño</x:v>
      </x:c>
      <x:c r="D4" s="31" t="str">
        <x:v>Jose Vicente Buitrago</x:v>
      </x:c>
      <x:c r="E4" s="31" t="str">
        <x:v>Angel Antonio Sierra Diaz</x:v>
      </x:c>
      <x:c r="F4" s="44" t="n">
        <x:v>1170000</x:v>
      </x:c>
      <x:c r="G4" s="31" t="str">
        <x:v>LEGAL_REVIEW</x:v>
      </x:c>
      <x:c r="H4" s="31" t="str">
        <x:v>Estado inferido: LEGAL_REVIEW</x:v>
      </x:c>
    </x:row>
    <x:row r="5">
      <x:c r="A5" s="31" t="str">
        <x:v>AR-010</x:v>
      </x:c>
      <x:c r="B5" s="31" t="n">
        <x:v>11</x:v>
      </x:c>
      <x:c r="C5" s="31" t="str">
        <x:v>Calle 54 A sur # 81D-33 Vegas de sta ana Class Roma Localidad Kennedy</x:v>
      </x:c>
      <x:c r="D5" s="31" t="str">
        <x:v>Jose Vicente Buitrago</x:v>
      </x:c>
      <x:c r="E5" s="31" t="str">
        <x:v>Edison Fabian Reyes Alarcon</x:v>
      </x:c>
      <x:c r="F5" s="44" t="n">
        <x:v>1000000</x:v>
      </x:c>
      <x:c r="G5" s="31" t="str">
        <x:v>LEGAL_REVIEW</x:v>
      </x:c>
      <x:c r="H5" s="31" t="str">
        <x:v>Estado inferido: LEGAL_REVIEW</x:v>
      </x:c>
    </x:row>
    <x:row r="6">
      <x:c r="A6" s="31" t="str">
        <x:v>AR-011</x:v>
      </x:c>
      <x:c r="B6" s="31" t="n">
        <x:v>12</x:v>
      </x:c>
      <x:c r="C6" s="31" t="str">
        <x:v>AC 22 sur #12B-44 Apto 202 Barrio Ciudad Jardin Localidad Antonio Nariño</x:v>
      </x:c>
      <x:c r="D6" s="31" t="str">
        <x:v>Jose Vicente Buitrago</x:v>
      </x:c>
      <x:c r="E6" s="31" t="str">
        <x:v>Victor Alfonso Gutierrez Mejia</x:v>
      </x:c>
      <x:c r="F6" s="44" t="n">
        <x:v>500000</x:v>
      </x:c>
      <x:c r="G6" s="31" t="str">
        <x:v>LEGAL_REVIEW</x:v>
      </x:c>
      <x:c r="H6" s="31" t="str">
        <x:v>Estado inferido: LEGAL_REVIEW</x:v>
      </x:c>
    </x:row>
    <x:row r="7">
      <x:c r="A7" s="31" t="str">
        <x:v>AR-015</x:v>
      </x:c>
      <x:c r="B7" s="31" t="n">
        <x:v>16</x:v>
      </x:c>
      <x:c r="C7" s="31" t="str">
        <x:v>Carrera 12 D Bis #24-63 sur Apto 403 Jose Obrero</x:v>
      </x:c>
      <x:c r="D7" s="31" t="str">
        <x:v>Luis Roberto</x:v>
      </x:c>
      <x:c r="E7" s="31" t="str">
        <x:v>Veronica Andrea Quintero Ramirez</x:v>
      </x:c>
      <x:c r="F7" s="44" t="n">
        <x:v>1100000</x:v>
      </x:c>
      <x:c r="G7" s="31" t="str">
        <x:v>ENDED</x:v>
      </x:c>
      <x:c r="H7" s="31" t="str">
        <x:v>Estado inferido: ENDED</x:v>
      </x:c>
    </x:row>
    <x:row r="8">
      <x:c r="A8" s="31" t="str">
        <x:v>AR-016</x:v>
      </x:c>
      <x:c r="B8" s="31" t="n">
        <x:v>17</x:v>
      </x:c>
      <x:c r="C8" s="31" t="str">
        <x:v>Cra 40 #30-42 sur Apto 102</x:v>
      </x:c>
      <x:c r="D8" s="31" t="str">
        <x:v>Rosa Fonseca</x:v>
      </x:c>
      <x:c r="E8" s="31" t="str">
        <x:v>Victor Alfonso Figueroa Nossa (Chispitas)</x:v>
      </x:c>
      <x:c r="F8" s="44" t="n">
        <x:v>900000</x:v>
      </x:c>
      <x:c r="G8" s="31" t="str">
        <x:v>LEGAL_REVIEW</x:v>
      </x:c>
      <x:c r="H8" s="31" t="str">
        <x:v>Estado inferido: LEGAL_REVIEW</x:v>
      </x:c>
    </x:row>
    <x:row r="9">
      <x:c r="A9" s="31" t="str">
        <x:v>AR-018</x:v>
      </x:c>
      <x:c r="B9" s="31" t="n">
        <x:v>19</x:v>
      </x:c>
      <x:c r="C9" s="31" t="str">
        <x:v>Cra 27 #5B-27 sur Apto 201 Santa Isabel</x:v>
      </x:c>
      <x:c r="D9" s="31" t="str">
        <x:v>Luz Herminda</x:v>
      </x:c>
      <x:c r="E9" s="31" t="str">
        <x:v>Karen Contreras Garcia</x:v>
      </x:c>
      <x:c r="F9" s="44" t="n">
        <x:v>900000</x:v>
      </x:c>
      <x:c r="G9" s="31" t="str">
        <x:v>ACTIVE</x:v>
      </x:c>
      <x:c r="H9" s="31" t="str">
        <x:v>Valores distintos Hoja 1=900000 vs Hoja 2=1250000 | Valor esperado 900000 no coincide con canon bruto 1250000 | Nombre de arrendatario difiere entre hojas</x:v>
      </x:c>
    </x:row>
    <x:row r="10">
      <x:c r="A10" s="31" t="str">
        <x:v>AR-019</x:v>
      </x:c>
      <x:c r="B10" s="31" t="n">
        <x:v>20</x:v>
      </x:c>
      <x:c r="C10" s="31" t="str">
        <x:v>Cra 40 #30-42 sur Apto 102 Barrio Santa Rita</x:v>
      </x:c>
      <x:c r="D10" s="31" t="str">
        <x:v>Rosa Fonseca</x:v>
      </x:c>
      <x:c r="E10" s="31" t="str">
        <x:v>Cesar Ivan Lopez Ramirez y Angie Tatiana Quintero</x:v>
      </x:c>
      <x:c r="F10" s="44" t="n">
        <x:v>650000</x:v>
      </x:c>
      <x:c r="G10" s="31" t="str">
        <x:v>ENDED</x:v>
      </x:c>
      <x:c r="H10" s="31" t="str">
        <x:v>Estado inferido: ENDED</x:v>
      </x:c>
    </x:row>
    <x:row r="11">
      <x:c r="A11" s="31" t="str">
        <x:v>AR-020</x:v>
      </x:c>
      <x:c r="B11" s="31" t="n">
        <x:v>21</x:v>
      </x:c>
      <x:c r="C11" s="31" t="str">
        <x:v>Cra 17 #19B -08 Apto 301 Barrio Restrepo Localidad Antonio Nariño PRADO VETRANIEGO</x:v>
      </x:c>
      <x:c r="D11" s="31" t="str">
        <x:v>Stella Aldana</x:v>
      </x:c>
      <x:c r="E11" s="31" t="str">
        <x:v>Sofia Vallejo Salcedo</x:v>
      </x:c>
      <x:c r="F11" s="44" t="n">
        <x:v>800000</x:v>
      </x:c>
      <x:c r="G11" s="31" t="str">
        <x:v>ACTIVE</x:v>
      </x:c>
      <x:c r="H11" s="31" t="str">
        <x:v>Valores distintos Hoja 1=800000 vs Hoja 2=1180000 | Valor esperado 800000 no coincide con canon bruto 11800000</x:v>
      </x:c>
    </x:row>
    <x:row r="12">
      <x:c r="A12" s="31" t="str">
        <x:v>AR-021</x:v>
      </x:c>
      <x:c r="B12" s="31" t="n">
        <x:v>22</x:v>
      </x:c>
      <x:c r="C12" s="31" t="str">
        <x:v>Cra 12D Bis #24-55 Sur Barrio San Jose Local Comercial</x:v>
      </x:c>
      <x:c r="D12" s="31" t="str">
        <x:v>Familia Onzaga</x:v>
      </x:c>
      <x:c r="E12" s="31" t="str">
        <x:v>Edilson Dulcey Corso</x:v>
      </x:c>
      <x:c r="F12" s="44" t="n">
        <x:v>800000</x:v>
      </x:c>
      <x:c r="G12" s="31" t="str">
        <x:v>ACTIVE</x:v>
      </x:c>
      <x:c r="H12" s="31" t="str">
        <x:v>Valores distintos Hoja 1=800000 vs Hoja 2=1150000</x:v>
      </x:c>
    </x:row>
    <x:row r="13">
      <x:c r="A13" s="31" t="str">
        <x:v>AR-025</x:v>
      </x:c>
      <x:c r="B13" s="31" t="n">
        <x:v>26</x:v>
      </x:c>
      <x:c r="C13" s="31" t="str">
        <x:v>Calle 13 A #19-41 sur Aparta Estudio 202 Barrio Restrepo Localidad Antonio Nariño</x:v>
      </x:c>
      <x:c r="D13" s="31" t="str">
        <x:v>Jose Vicente Buitrago</x:v>
      </x:c>
      <x:c r="E13" s="31" t="str">
        <x:v>Heisner Johan Bautista Hoyos</x:v>
      </x:c>
      <x:c r="F13" s="44" t="n">
        <x:v>600000</x:v>
      </x:c>
      <x:c r="G13" s="31" t="str">
        <x:v>ENDED</x:v>
      </x:c>
      <x:c r="H13" s="31" t="str">
        <x:v>Estado inferido: ENDED</x:v>
      </x:c>
    </x:row>
    <x:row r="14">
      <x:c r="A14" s="31" t="str">
        <x:v>AR-027</x:v>
      </x:c>
      <x:c r="B14" s="31" t="n">
        <x:v>28</x:v>
      </x:c>
      <x:c r="C14" s="31" t="str">
        <x:v>Cra 12 B BIS #24-51 sur Barrio San Jose</x:v>
      </x:c>
      <x:c r="D14" s="31" t="str">
        <x:v>Familia Onzaga</x:v>
      </x:c>
      <x:c r="E14" s="31" t="str">
        <x:v>Alexandra Grajales Rico</x:v>
      </x:c>
      <x:c r="F14" s="44" t="n">
        <x:v>900000</x:v>
      </x:c>
      <x:c r="G14" s="31" t="str">
        <x:v>ENDED</x:v>
      </x:c>
      <x:c r="H14" s="31" t="str">
        <x:v>Estado inferido: ENDED</x:v>
      </x:c>
    </x:row>
    <x:row r="15">
      <x:c r="A15" s="31" t="str">
        <x:v>AR-034</x:v>
      </x:c>
      <x:c r="B15" s="31" t="n">
        <x:v>35</x:v>
      </x:c>
      <x:c r="C15" s="31" t="str">
        <x:v>Calle 23 sur #10D-34 Apto 101</x:v>
      </x:c>
      <x:c r="D15" s="31" t="str">
        <x:v>Fernando Cristancho</x:v>
      </x:c>
      <x:c r="E15" s="31" t="str">
        <x:v>German Alberto Carvajal</x:v>
      </x:c>
      <x:c r="F15" s="44" t="n">
        <x:v>600000</x:v>
      </x:c>
      <x:c r="G15" s="31" t="str">
        <x:v>ACTIVE</x:v>
      </x:c>
      <x:c r="H15" s="31" t="str">
        <x:v>Valores distintos Hoja 1=600000 vs Hoja 2=840000 | Valor esperado 600000 no coincide con canon bruto 670000</x:v>
      </x:c>
    </x:row>
    <x:row r="16">
      <x:c r="A16" s="31" t="str">
        <x:v>AR-035</x:v>
      </x:c>
      <x:c r="B16" s="31" t="n">
        <x:v>36</x:v>
      </x:c>
      <x:c r="C16" s="31" t="str">
        <x:v>Portales del Prado Calle 128 #4B-26 Apto 501 Int 11</x:v>
      </x:c>
      <x:c r="D16" s="31" t="str">
        <x:v>Adiela Florez</x:v>
      </x:c>
      <x:c r="E16" s="31" t="str">
        <x:v>Sofia Vallejo Salcedo</x:v>
      </x:c>
      <x:c r="F16" s="44" t="n">
        <x:v>1180000</x:v>
      </x:c>
      <x:c r="G16" s="31" t="str">
        <x:v>ENDED</x:v>
      </x:c>
      <x:c r="H16" s="31" t="str">
        <x:v>Nombre de arrendatario difiere entre hojas | Estado inferido: ENDED</x:v>
      </x:c>
    </x:row>
    <x:row r="17">
      <x:c r="A17" s="31" t="str">
        <x:v>AR-037</x:v>
      </x:c>
      <x:c r="B17" s="31" t="n">
        <x:v>38</x:v>
      </x:c>
      <x:c r="C17" s="31" t="str">
        <x:v>Carrera 5J este #68D-11 sur</x:v>
      </x:c>
      <x:c r="D17" s="31" t="str">
        <x:v>Dro. Trivino</x:v>
      </x:c>
      <x:c r="E17" s="31"/>
      <x:c r="F17" s="44"/>
      <x:c r="G17" s="31" t="str">
        <x:v>ENDED</x:v>
      </x:c>
      <x:c r="H17" s="31" t="str">
        <x:v>Falta arrendatario | Falta valor esperado | Estado inferido: ENDED</x:v>
      </x:c>
    </x:row>
    <x:row r="18">
      <x:c r="A18" s="31" t="str">
        <x:v>AR-040</x:v>
      </x:c>
      <x:c r="B18" s="31" t="n">
        <x:v>41</x:v>
      </x:c>
      <x:c r="C18" s="31" t="str">
        <x:v>Cra 40 #30-42 sur Barrio Santa Rita</x:v>
      </x:c>
      <x:c r="D18" s="31" t="str">
        <x:v>Rosa Fonseca</x:v>
      </x:c>
      <x:c r="E18" s="31" t="str">
        <x:v>German Alberto Guarin Arenas</x:v>
      </x:c>
      <x:c r="F18" s="44" t="n">
        <x:v>740000</x:v>
      </x:c>
      <x:c r="G18" s="31" t="str">
        <x:v>ACTIVE</x:v>
      </x:c>
      <x:c r="H18" s="31" t="str">
        <x:v>Valores distintos Hoja 1=740000 vs Hoja 2=770000 | Valor esperado 740000 no coincide con canon bruto 770000</x:v>
      </x:c>
    </x:row>
    <x:row r="19">
      <x:c r="A19" s="31" t="str">
        <x:v>AR-041</x:v>
      </x:c>
      <x:c r="B19" s="31" t="n">
        <x:v>42</x:v>
      </x:c>
      <x:c r="C19" s="31" t="str">
        <x:v>Calle 7 #7-24 sur B. S Cayetano</x:v>
      </x:c>
      <x:c r="D19" s="31" t="str">
        <x:v>Dro. Trivino</x:v>
      </x:c>
      <x:c r="E19" s="31"/>
      <x:c r="F19" s="44"/>
      <x:c r="G19" s="31" t="str">
        <x:v>ACTIVE</x:v>
      </x:c>
      <x:c r="H19" s="31" t="str">
        <x:v>Falta arrendatario | Falta valor esperado</x:v>
      </x:c>
    </x:row>
    <x:row r="20">
      <x:c r="A20" s="31" t="str">
        <x:v>AR-042</x:v>
      </x:c>
      <x:c r="B20" s="31" t="n">
        <x:v>43</x:v>
      </x:c>
      <x:c r="C20" s="31" t="str">
        <x:v>Cra 12 D #24-52 sur Bodega 1 piso</x:v>
      </x:c>
      <x:c r="D20" s="31" t="str">
        <x:v>Carlos Lavanderia</x:v>
      </x:c>
      <x:c r="E20" s="31" t="str">
        <x:v>Johan S. Martinez</x:v>
      </x:c>
      <x:c r="F20" s="44" t="n">
        <x:v>1500000</x:v>
      </x:c>
      <x:c r="G20" s="31" t="str">
        <x:v>ACTIVE</x:v>
      </x:c>
      <x:c r="H20" s="31" t="str">
        <x:v>Valores distintos Hoja 1=1500000 vs Hoja 2=3500000 | Valor esperado 1500000 no coincide con canon bruto 3000000</x:v>
      </x:c>
    </x:row>
    <x:row r="21">
      <x:c r="A21" s="31" t="str">
        <x:v>AR-047</x:v>
      </x:c>
      <x:c r="B21" s="31" t="n">
        <x:v>48</x:v>
      </x:c>
      <x:c r="C21" s="31" t="str">
        <x:v>Calle 13 A #19-41 sur Aparta Estudio 204 Barrio Restrepo Localidad Antonio Nariño</x:v>
      </x:c>
      <x:c r="D21" s="31" t="str">
        <x:v>Jose Vicente Buitrago</x:v>
      </x:c>
      <x:c r="E21" s="31" t="str">
        <x:v>Litia Maria Arteaga</x:v>
      </x:c>
      <x:c r="F21" s="44"/>
      <x:c r="G21" s="31" t="str">
        <x:v>ACTIVE</x:v>
      </x:c>
      <x:c r="H21" s="31" t="str">
        <x:v>Falta valor esperado</x:v>
      </x:c>
    </x:row>
    <x:row r="22">
      <x:c r="A22" s="31" t="str">
        <x:v>AR-050</x:v>
      </x:c>
      <x:c r="B22" s="31" t="n">
        <x:v>51</x:v>
      </x:c>
      <x:c r="C22" s="31" t="str">
        <x:v>Calle 47 #57H-36 Casa G Rincon de S Nicolas</x:v>
      </x:c>
      <x:c r="D22" s="31" t="str">
        <x:v>Luis parra</x:v>
      </x:c>
      <x:c r="E22" s="31" t="str">
        <x:v>Jaime Santamaria Castro</x:v>
      </x:c>
      <x:c r="F22" s="44" t="n">
        <x:v>500000</x:v>
      </x:c>
      <x:c r="G22" s="31" t="str">
        <x:v>ACTIVE</x:v>
      </x:c>
      <x:c r="H22" s="31" t="str">
        <x:v>Valores distintos Hoja 1=500000 vs Hoja 2=670000 | Valor esperado 500000 no coincide con canon bruto 670000</x:v>
      </x:c>
    </x:row>
    <x:row r="23">
      <x:c r="A23" s="31" t="str">
        <x:v>AR-053</x:v>
      </x:c>
      <x:c r="B23" s="31" t="n">
        <x:v>54</x:v>
      </x:c>
      <x:c r="C23" s="31" t="str">
        <x:v>AC 22 sur #12B-44 Barrio Ciudad Jardin Localidad Antonio Nariño Apto 401</x:v>
      </x:c>
      <x:c r="D23" s="31" t="str">
        <x:v>Jose Vicente Buitrago</x:v>
      </x:c>
      <x:c r="E23" s="31"/>
      <x:c r="F23" s="44"/>
      <x:c r="G23" s="31" t="str">
        <x:v>ACTIVE</x:v>
      </x:c>
      <x:c r="H23" s="31" t="str">
        <x:v>Falta arrendatario | Falta valor esperado</x:v>
      </x:c>
    </x:row>
    <x:row r="24">
      <x:c r="A24" s="31" t="str">
        <x:v>AR-059</x:v>
      </x:c>
      <x:c r="B24" s="31" t="n">
        <x:v>60</x:v>
      </x:c>
      <x:c r="C24" s="31" t="str">
        <x:v>Cra 17 #18-49 sur Restrepo Localidad Antonio Nariño</x:v>
      </x:c>
      <x:c r="D24" s="31" t="str">
        <x:v>Serafin Mariño</x:v>
      </x:c>
      <x:c r="E24" s="31" t="str">
        <x:v>Jonathan Steven Casteblanco Arenas</x:v>
      </x:c>
      <x:c r="F24" s="44" t="n">
        <x:v>960000</x:v>
      </x:c>
      <x:c r="G24" s="31" t="str">
        <x:v>ACTIVE</x:v>
      </x:c>
      <x:c r="H24" s="31" t="str">
        <x:v>Valores distintos Hoja 1=960000 vs Hoja 2=1060000</x:v>
      </x:c>
    </x:row>
    <x:row r="25">
      <x:c r="A25" s="31" t="str">
        <x:v>AR-060</x:v>
      </x:c>
      <x:c r="B25" s="31" t="n">
        <x:v>61</x:v>
      </x:c>
      <x:c r="C25" s="31" t="str">
        <x:v>AC 22 sur #12B-44 Barrio Ciudad Jardin Localidad Antonio Nariño Apto 301</x:v>
      </x:c>
      <x:c r="D25" s="31" t="str">
        <x:v>Jose Vicente Buitrago</x:v>
      </x:c>
      <x:c r="E25" s="31" t="str">
        <x:v>Juan Camilo Martinez Campo (esta preaviso por mora)</x:v>
      </x:c>
      <x:c r="F25" s="44" t="n">
        <x:v>500000</x:v>
      </x:c>
      <x:c r="G25" s="31" t="str">
        <x:v>PRENOTICE</x:v>
      </x:c>
      <x:c r="H25" s="31" t="str">
        <x:v>Valor esperado 500000 no coincide con canon bruto 400000 | Estado inferido: PRENOTICE</x:v>
      </x:c>
    </x:row>
    <x:row r="26">
      <x:c r="A26" s="31" t="str">
        <x:v>AR-063</x:v>
      </x:c>
      <x:c r="B26" s="31" t="n">
        <x:v>64</x:v>
      </x:c>
      <x:c r="C26" s="31" t="str">
        <x:v>Calle 54 A #27-61 Sur Barrio San Vicente Ferrer</x:v>
      </x:c>
      <x:c r="D26" s="31" t="str">
        <x:v>Roberto Selis</x:v>
      </x:c>
      <x:c r="E26" s="31"/>
      <x:c r="F26" s="44" t="n">
        <x:v>1400000</x:v>
      </x:c>
      <x:c r="G26" s="31" t="str">
        <x:v>ACTIVE</x:v>
      </x:c>
      <x:c r="H26" s="31" t="str">
        <x:v>Falta arrendatario</x:v>
      </x:c>
    </x:row>
    <x:row r="27">
      <x:c r="A27" s="31" t="str">
        <x:v>AR-064</x:v>
      </x:c>
      <x:c r="B27" s="31" t="n">
        <x:v>65</x:v>
      </x:c>
      <x:c r="C27" s="31" t="str">
        <x:v>Cra 12 B BIS #24-35 sur Barrio San Jose</x:v>
      </x:c>
      <x:c r="D27" s="31" t="str">
        <x:v>Roberto Selis</x:v>
      </x:c>
      <x:c r="E27" s="31"/>
      <x:c r="F27" s="44" t="n">
        <x:v>1180000</x:v>
      </x:c>
      <x:c r="G27" s="31" t="str">
        <x:v>ACTIVE</x:v>
      </x:c>
      <x:c r="H27" s="31" t="str">
        <x:v>Falta arrendatario</x:v>
      </x:c>
    </x:row>
    <x:row r="28">
      <x:c r="A28" s="31" t="str">
        <x:v>AR-065</x:v>
      </x:c>
      <x:c r="B28" s="31" t="n">
        <x:v>66</x:v>
      </x:c>
      <x:c r="C28" s="31" t="str">
        <x:v>Calle 18 sur #16A-21</x:v>
      </x:c>
      <x:c r="D28" s="31" t="str">
        <x:v>Sergio Javier Vallejo Aya</x:v>
      </x:c>
      <x:c r="E28" s="31"/>
      <x:c r="F28" s="44"/>
      <x:c r="G28" s="31" t="str">
        <x:v>ACTIVE</x:v>
      </x:c>
      <x:c r="H28" s="31" t="str">
        <x:v>Falta arrendatario | Falta valor esperado</x:v>
      </x:c>
    </x:row>
    <x:row r="29">
      <x:c r="A29" s="31" t="str">
        <x:v>AR-066</x:v>
      </x:c>
      <x:c r="B29" s="31" t="n">
        <x:v>67</x:v>
      </x:c>
      <x:c r="C29" s="31" t="str">
        <x:v>Carrera 1B #12 C-69 Soacha</x:v>
      </x:c>
      <x:c r="D29" s="31" t="str">
        <x:v>Jaime Cruz</x:v>
      </x:c>
      <x:c r="E29" s="31"/>
      <x:c r="F29" s="44"/>
      <x:c r="G29" s="31" t="str">
        <x:v>ACTIVE</x:v>
      </x:c>
      <x:c r="H29" s="31" t="str">
        <x:v>Falta arrendatario | Falta valor esperado</x:v>
      </x:c>
    </x:row>
    <x:row r="30">
      <x:c r="A30" s="31" t="str">
        <x:v>AR-070</x:v>
      </x:c>
      <x:c r="B30" s="31" t="n">
        <x:v>71</x:v>
      </x:c>
      <x:c r="C30" s="31" t="str">
        <x:v>Calle 135 A #9A-20 Apto 105</x:v>
      </x:c>
      <x:c r="D30" s="31" t="str">
        <x:v>Jose Vicente Buitrago</x:v>
      </x:c>
      <x:c r="E30" s="31" t="str">
        <x:v>Kelly Cervera Molina</x:v>
      </x:c>
      <x:c r="F30" s="44" t="n">
        <x:v>800000</x:v>
      </x:c>
      <x:c r="G30" s="31" t="str">
        <x:v>ENDED</x:v>
      </x:c>
      <x:c r="H30" s="31" t="str">
        <x:v>Estado inferido: ENDED</x:v>
      </x:c>
    </x:row>
    <x:row r="31">
      <x:c r="A31" s="31" t="str">
        <x:v>AR-072</x:v>
      </x:c>
      <x:c r="B31" s="31" t="n">
        <x:v>73</x:v>
      </x:c>
      <x:c r="C31" s="31" t="str">
        <x:v>AC 22 sur #12B-44 APTO 404 Barrio Ciudad Jardin</x:v>
      </x:c>
      <x:c r="D31" s="31" t="str">
        <x:v>Jose Vicente Buitrago</x:v>
      </x:c>
      <x:c r="E31" s="31"/>
      <x:c r="F31" s="44"/>
      <x:c r="G31" s="31" t="str">
        <x:v>ACTIVE</x:v>
      </x:c>
      <x:c r="H31" s="31" t="str">
        <x:v>Falta arrendatario | Falta valor esperado</x:v>
      </x:c>
    </x:row>
    <x:row r="32">
      <x:c r="A32" s="31" t="str">
        <x:v>AR-083</x:v>
      </x:c>
      <x:c r="B32" s="31" t="n">
        <x:v>84</x:v>
      </x:c>
      <x:c r="C32" s="31" t="str">
        <x:v>AC 22 sur #12B-44 Local Comercial Barrio Ciudad Jardin</x:v>
      </x:c>
      <x:c r="D32" s="31" t="str">
        <x:v>Jose Vicente Buitrago</x:v>
      </x:c>
      <x:c r="E32" s="31" t="str">
        <x:v>Jorge Armando Barrios Y Alexandra Briggite Silva Sanchez</x:v>
      </x:c>
      <x:c r="F32" s="44" t="n">
        <x:v>3000000</x:v>
      </x:c>
      <x:c r="G32" s="31" t="str">
        <x:v>LEGAL_REVIEW</x:v>
      </x:c>
      <x:c r="H32" s="31" t="str">
        <x:v>Estado inferido: LEGAL_REVIEW</x:v>
      </x:c>
    </x:row>
    <x:row r="33">
      <x:c r="A33" s="31" t="str">
        <x:v>AR-084</x:v>
      </x:c>
      <x:c r="B33" s="31" t="n">
        <x:v>85</x:v>
      </x:c>
      <x:c r="C33" s="31" t="str">
        <x:v>CLASS ROMA APT 104</x:v>
      </x:c>
      <x:c r="D33" s="31" t="str">
        <x:v>Jose Vicente Buitrago</x:v>
      </x:c>
      <x:c r="E33" s="31" t="str">
        <x:v>Eduardo Gumercindo Ortiz</x:v>
      </x:c>
      <x:c r="F33" s="44" t="n">
        <x:v>300000</x:v>
      </x:c>
      <x:c r="G33" s="31" t="str">
        <x:v>ACTIVE</x:v>
      </x:c>
      <x:c r="H33" s="31" t="str">
        <x:v>Valores distintos Hoja 1=300000 vs Hoja 2=650000</x:v>
      </x:c>
    </x:row>
  </x:sheetData>
  <x:pageMargins left="0.7" right="0.7" top="0.75" bottom="0.75" header="0.3" footer="0.3"/>
  <x:tableParts count="1">
    <x:tablePart xmlns:r="http://schemas.openxmlformats.org/officeDocument/2006/relationships" r:id="R9864380c9b284c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60" hidden="0" customWidth="1"/>
  </x:cols>
  <x:sheetData>
    <x:row r="1">
      <x:c r="A1" s="64" t="str">
        <x:v>sourceSheet</x:v>
      </x:c>
      <x:c r="B1" s="64" t="str">
        <x:v>sourceRow</x:v>
      </x:c>
      <x:c r="C1" s="64" t="str">
        <x:v>movementType</x:v>
      </x:c>
      <x:c r="D1" s="64" t="str">
        <x:v>amount</x:v>
      </x:c>
      <x:c r="E1" s="64" t="str">
        <x:v>concept</x:v>
      </x:c>
    </x:row>
    <x:row r="2">
      <x:c r="A2" s="31" t="str">
        <x:v>Hoja 4</x:v>
      </x:c>
      <x:c r="B2" s="31" t="n">
        <x:v>2</x:v>
      </x:c>
      <x:c r="C2" s="31" t="str">
        <x:v>INCOME</x:v>
      </x:c>
      <x:c r="D2" s="44" t="n">
        <x:v>905000</x:v>
      </x:c>
      <x:c r="E2" s="31" t="str">
        <x:v>31/07/24 EDUARO JAIMES NORTE</x:v>
      </x:c>
    </x:row>
    <x:row r="3">
      <x:c r="A3" s="31" t="str">
        <x:v>Hoja 4</x:v>
      </x:c>
      <x:c r="B3" s="31" t="n">
        <x:v>2</x:v>
      </x:c>
      <x:c r="C3" s="31" t="str">
        <x:v>EXPENSE</x:v>
      </x:c>
      <x:c r="D3" s="44" t="n">
        <x:v>125987</x:v>
      </x:c>
      <x:c r="E3" s="31" t="str">
        <x:v>29/07/24 INTERNET SUR</x:v>
      </x:c>
    </x:row>
    <x:row r="4">
      <x:c r="A4" s="31" t="str">
        <x:v>Hoja 4</x:v>
      </x:c>
      <x:c r="B4" s="31" t="n">
        <x:v>3</x:v>
      </x:c>
      <x:c r="C4" s="31" t="str">
        <x:v>INCOME</x:v>
      </x:c>
      <x:c r="D4" s="44" t="n">
        <x:v>770000</x:v>
      </x:c>
      <x:c r="E4" s="31" t="str">
        <x:v>45505</x:v>
      </x:c>
    </x:row>
    <x:row r="5">
      <x:c r="A5" s="31" t="str">
        <x:v>Hoja 4</x:v>
      </x:c>
      <x:c r="B5" s="31" t="n">
        <x:v>3</x:v>
      </x:c>
      <x:c r="C5" s="31" t="str">
        <x:v>EXPENSE</x:v>
      </x:c>
      <x:c r="D5" s="44" t="n">
        <x:v>7000</x:v>
      </x:c>
      <x:c r="E5" s="31" t="str">
        <x:v>45506</x:v>
      </x:c>
    </x:row>
    <x:row r="6">
      <x:c r="A6" s="31" t="str">
        <x:v>Hoja 4</x:v>
      </x:c>
      <x:c r="B6" s="31" t="n">
        <x:v>4</x:v>
      </x:c>
      <x:c r="C6" s="31" t="str">
        <x:v>INCOME</x:v>
      </x:c>
      <x:c r="D6" s="44" t="n">
        <x:v>650000</x:v>
      </x:c>
      <x:c r="E6" s="31" t="str">
        <x:v>45505</x:v>
      </x:c>
    </x:row>
    <x:row r="7">
      <x:c r="A7" s="31" t="str">
        <x:v>Hoja 4</x:v>
      </x:c>
      <x:c r="B7" s="31" t="n">
        <x:v>4</x:v>
      </x:c>
      <x:c r="C7" s="31" t="str">
        <x:v>EXPENSE</x:v>
      </x:c>
      <x:c r="D7" s="44" t="n">
        <x:v>8000</x:v>
      </x:c>
      <x:c r="E7" s="31" t="str">
        <x:v>45507</x:v>
      </x:c>
    </x:row>
    <x:row r="8">
      <x:c r="A8" s="31" t="str">
        <x:v>Hoja 4</x:v>
      </x:c>
      <x:c r="B8" s="31" t="n">
        <x:v>5</x:v>
      </x:c>
      <x:c r="C8" s="31" t="str">
        <x:v>INCOME</x:v>
      </x:c>
      <x:c r="D8" s="44" t="n">
        <x:v>1030000</x:v>
      </x:c>
      <x:c r="E8" s="31" t="str">
        <x:v>SOFIA VALLEJO PRADO 01/08/24</x:v>
      </x:c>
    </x:row>
    <x:row r="9">
      <x:c r="A9" s="31" t="str">
        <x:v>Hoja 4</x:v>
      </x:c>
      <x:c r="B9" s="31" t="n">
        <x:v>5</x:v>
      </x:c>
      <x:c r="C9" s="31" t="str">
        <x:v>EXPENSE</x:v>
      </x:c>
      <x:c r="D9" s="44" t="n">
        <x:v>150000</x:v>
      </x:c>
      <x:c r="E9" s="31" t="str">
        <x:v>45507</x:v>
      </x:c>
    </x:row>
    <x:row r="10">
      <x:c r="A10" s="31" t="str">
        <x:v>Hoja 4</x:v>
      </x:c>
      <x:c r="B10" s="31" t="n">
        <x:v>6</x:v>
      </x:c>
      <x:c r="C10" s="31" t="str">
        <x:v>INCOME</x:v>
      </x:c>
      <x:c r="D10" s="44" t="n">
        <x:v>800000</x:v>
      </x:c>
      <x:c r="E10" s="31" t="str">
        <x:v>45507</x:v>
      </x:c>
    </x:row>
    <x:row r="11">
      <x:c r="A11" s="31" t="str">
        <x:v>Hoja 4</x:v>
      </x:c>
      <x:c r="B11" s="31" t="n">
        <x:v>6</x:v>
      </x:c>
      <x:c r="C11" s="31" t="str">
        <x:v>EXPENSE</x:v>
      </x:c>
      <x:c r="D11" s="44" t="n">
        <x:v>750000</x:v>
      </x:c>
      <x:c r="E11" s="31" t="str">
        <x:v>03/08/24 KEINER VILLARREAL</x:v>
      </x:c>
    </x:row>
    <x:row r="12">
      <x:c r="A12" s="31" t="str">
        <x:v>Hoja 4</x:v>
      </x:c>
      <x:c r="B12" s="31" t="n">
        <x:v>7</x:v>
      </x:c>
      <x:c r="C12" s="31" t="str">
        <x:v>INCOME</x:v>
      </x:c>
      <x:c r="D12" s="44" t="n">
        <x:v>800000</x:v>
      </x:c>
      <x:c r="E12" s="31" t="str">
        <x:v>04/08/24 MANUELA PERALTA</x:v>
      </x:c>
    </x:row>
    <x:row r="13">
      <x:c r="A13" s="31" t="str">
        <x:v>Hoja 4</x:v>
      </x:c>
      <x:c r="B13" s="31" t="n">
        <x:v>7</x:v>
      </x:c>
      <x:c r="C13" s="31" t="str">
        <x:v>EXPENSE</x:v>
      </x:c>
      <x:c r="D13" s="44" t="n">
        <x:v>58000</x:v>
      </x:c>
      <x:c r="E13" s="31" t="str">
        <x:v>nequi 05/08/24</x:v>
      </x:c>
    </x:row>
    <x:row r="14">
      <x:c r="A14" s="31" t="str">
        <x:v>Hoja 4</x:v>
      </x:c>
      <x:c r="B14" s="31" t="n">
        <x:v>8</x:v>
      </x:c>
      <x:c r="C14" s="31" t="str">
        <x:v>INCOME</x:v>
      </x:c>
      <x:c r="D14" s="44" t="n">
        <x:v>1236000</x:v>
      </x:c>
      <x:c r="E14" s="31" t="str">
        <x:v>45508</x:v>
      </x:c>
    </x:row>
    <x:row r="15">
      <x:c r="A15" s="31" t="str">
        <x:v>Hoja 4</x:v>
      </x:c>
      <x:c r="B15" s="31" t="n">
        <x:v>8</x:v>
      </x:c>
      <x:c r="C15" s="31" t="str">
        <x:v>EXPENSE</x:v>
      </x:c>
      <x:c r="D15" s="44" t="n">
        <x:v>28000</x:v>
      </x:c>
      <x:c r="E15" s="31" t="str">
        <x:v>nequi 05/08/24</x:v>
      </x:c>
    </x:row>
    <x:row r="16">
      <x:c r="A16" s="31" t="str">
        <x:v>Hoja 4</x:v>
      </x:c>
      <x:c r="B16" s="31" t="n">
        <x:v>9</x:v>
      </x:c>
      <x:c r="C16" s="31" t="str">
        <x:v>INCOME</x:v>
      </x:c>
      <x:c r="D16" s="44" t="n">
        <x:v>1000000</x:v>
      </x:c>
      <x:c r="E16" s="31" t="str">
        <x:v>45508</x:v>
      </x:c>
    </x:row>
    <x:row r="17">
      <x:c r="A17" s="31" t="str">
        <x:v>Hoja 4</x:v>
      </x:c>
      <x:c r="B17" s="31" t="n">
        <x:v>9</x:v>
      </x:c>
      <x:c r="C17" s="31" t="str">
        <x:v>EXPENSE</x:v>
      </x:c>
      <x:c r="D17" s="44" t="n">
        <x:v>23870</x:v>
      </x:c>
      <x:c r="E17" s="31" t="str">
        <x:v>cardif seguro 05/08/24</x:v>
      </x:c>
    </x:row>
    <x:row r="18">
      <x:c r="A18" s="31" t="str">
        <x:v>Hoja 4</x:v>
      </x:c>
      <x:c r="B18" s="31" t="n">
        <x:v>10</x:v>
      </x:c>
      <x:c r="C18" s="31" t="str">
        <x:v>INCOME</x:v>
      </x:c>
      <x:c r="D18" s="44" t="n">
        <x:v>1000000</x:v>
      </x:c>
      <x:c r="E18" s="31" t="str">
        <x:v>45509</x:v>
      </x:c>
    </x:row>
    <x:row r="19">
      <x:c r="A19" s="31" t="str">
        <x:v>Hoja 4</x:v>
      </x:c>
      <x:c r="B19" s="31" t="n">
        <x:v>10</x:v>
      </x:c>
      <x:c r="C19" s="31" t="str">
        <x:v>EXPENSE</x:v>
      </x:c>
      <x:c r="D19" s="44" t="n">
        <x:v>23290</x:v>
      </x:c>
      <x:c r="E19" s="31" t="str">
        <x:v>suramericana seguro 05/08/24</x:v>
      </x:c>
    </x:row>
    <x:row r="20">
      <x:c r="A20" s="31" t="str">
        <x:v>Hoja 4</x:v>
      </x:c>
      <x:c r="B20" s="31" t="n">
        <x:v>11</x:v>
      </x:c>
      <x:c r="C20" s="31" t="str">
        <x:v>INCOME</x:v>
      </x:c>
      <x:c r="D20" s="44" t="n">
        <x:v>2000000</x:v>
      </x:c>
      <x:c r="E20" s="31" t="str">
        <x:v>45509</x:v>
      </x:c>
    </x:row>
    <x:row r="21">
      <x:c r="A21" s="31" t="str">
        <x:v>Hoja 4</x:v>
      </x:c>
      <x:c r="B21" s="31" t="n">
        <x:v>11</x:v>
      </x:c>
      <x:c r="C21" s="31" t="str">
        <x:v>EXPENSE</x:v>
      </x:c>
      <x:c r="D21" s="44" t="n">
        <x:v>91260</x:v>
      </x:c>
      <x:c r="E21" s="31" t="str">
        <x:v>ENEL05/08/24</x:v>
      </x:c>
    </x:row>
    <x:row r="22">
      <x:c r="A22" s="31" t="str">
        <x:v>Hoja 4</x:v>
      </x:c>
      <x:c r="B22" s="31" t="n">
        <x:v>12</x:v>
      </x:c>
      <x:c r="C22" s="31" t="str">
        <x:v>INCOME</x:v>
      </x:c>
      <x:c r="D22" s="44" t="n">
        <x:v>1500000</x:v>
      </x:c>
      <x:c r="E22" s="31" t="str">
        <x:v>45509</x:v>
      </x:c>
    </x:row>
    <x:row r="23">
      <x:c r="A23" s="31" t="str">
        <x:v>Hoja 4</x:v>
      </x:c>
      <x:c r="B23" s="31" t="n">
        <x:v>12</x:v>
      </x:c>
      <x:c r="C23" s="31" t="str">
        <x:v>EXPENSE</x:v>
      </x:c>
      <x:c r="D23" s="44" t="n">
        <x:v>36190</x:v>
      </x:c>
      <x:c r="E23" s="31" t="str">
        <x:v>VANTI 05/08/24</x:v>
      </x:c>
    </x:row>
    <x:row r="24">
      <x:c r="A24" s="31" t="str">
        <x:v>Hoja 4</x:v>
      </x:c>
      <x:c r="B24" s="31" t="n">
        <x:v>13</x:v>
      </x:c>
      <x:c r="C24" s="31" t="str">
        <x:v>INCOME</x:v>
      </x:c>
      <x:c r="D24" s="44" t="n">
        <x:v>1300000</x:v>
      </x:c>
      <x:c r="E24" s="31" t="str">
        <x:v>MARIA MONTOYA 05/08/24</x:v>
      </x:c>
    </x:row>
    <x:row r="25">
      <x:c r="A25" s="31" t="str">
        <x:v>Hoja 4</x:v>
      </x:c>
      <x:c r="B25" s="31" t="n">
        <x:v>13</x:v>
      </x:c>
      <x:c r="C25" s="31" t="str">
        <x:v>EXPENSE</x:v>
      </x:c>
      <x:c r="D25" s="44" t="n">
        <x:v>26000</x:v>
      </x:c>
      <x:c r="E25" s="31" t="str">
        <x:v>HIERROS BTA 05/08/24</x:v>
      </x:c>
    </x:row>
    <x:row r="26">
      <x:c r="A26" s="31" t="str">
        <x:v>Hoja 4</x:v>
      </x:c>
      <x:c r="B26" s="31" t="n">
        <x:v>14</x:v>
      </x:c>
      <x:c r="C26" s="31" t="str">
        <x:v>INCOME</x:v>
      </x:c>
      <x:c r="D26" s="44" t="n">
        <x:v>1250000</x:v>
      </x:c>
      <x:c r="E26" s="31" t="str">
        <x:v>CTA 91204678338 05/08/24</x:v>
      </x:c>
    </x:row>
    <x:row r="27">
      <x:c r="A27" s="31" t="str">
        <x:v>Hoja 4</x:v>
      </x:c>
      <x:c r="B27" s="31" t="n">
        <x:v>14</x:v>
      </x:c>
      <x:c r="C27" s="31" t="str">
        <x:v>EXPENSE</x:v>
      </x:c>
      <x:c r="D27" s="44" t="n">
        <x:v>300000</x:v>
      </x:c>
      <x:c r="E27" s="31" t="str">
        <x:v>nequi 06/08/24 NIKO</x:v>
      </x:c>
    </x:row>
    <x:row r="28">
      <x:c r="A28" s="31" t="str">
        <x:v>Hoja 4</x:v>
      </x:c>
      <x:c r="B28" s="31" t="n">
        <x:v>15</x:v>
      </x:c>
      <x:c r="C28" s="31" t="str">
        <x:v>INCOME</x:v>
      </x:c>
      <x:c r="D28" s="44" t="n">
        <x:v>1760000</x:v>
      </x:c>
      <x:c r="E28" s="31" t="str">
        <x:v>DIEGO FORERO TACOS 05/08/24</x:v>
      </x:c>
    </x:row>
    <x:row r="29">
      <x:c r="A29" s="31" t="str">
        <x:v>Hoja 4</x:v>
      </x:c>
      <x:c r="B29" s="31" t="n">
        <x:v>15</x:v>
      </x:c>
      <x:c r="C29" s="31" t="str">
        <x:v>EXPENSE</x:v>
      </x:c>
      <x:c r="D29" s="44" t="n">
        <x:v>377500</x:v>
      </x:c>
      <x:c r="E29" s="31" t="str">
        <x:v>COMPENSAR JDB 06/08/24</x:v>
      </x:c>
    </x:row>
    <x:row r="30">
      <x:c r="A30" s="31" t="str">
        <x:v>Hoja 4</x:v>
      </x:c>
      <x:c r="B30" s="31" t="n">
        <x:v>16</x:v>
      </x:c>
      <x:c r="C30" s="31" t="str">
        <x:v>INCOME</x:v>
      </x:c>
      <x:c r="D30" s="44" t="n">
        <x:v>682000</x:v>
      </x:c>
      <x:c r="E30" s="31" t="str">
        <x:v>CONSIG CNB REDES 05/08/24</x:v>
      </x:c>
    </x:row>
    <x:row r="31">
      <x:c r="A31" s="31" t="str">
        <x:v>Hoja 4</x:v>
      </x:c>
      <x:c r="B31" s="31" t="n">
        <x:v>16</x:v>
      </x:c>
      <x:c r="C31" s="31" t="str">
        <x:v>EXPENSE</x:v>
      </x:c>
      <x:c r="D31" s="44" t="n">
        <x:v>20500</x:v>
      </x:c>
      <x:c r="E31" s="31" t="str">
        <x:v>TRANS 91227134343 06/08/24</x:v>
      </x:c>
    </x:row>
    <x:row r="32">
      <x:c r="A32" s="31" t="str">
        <x:v>Hoja 4</x:v>
      </x:c>
      <x:c r="B32" s="31" t="n">
        <x:v>17</x:v>
      </x:c>
      <x:c r="C32" s="31" t="str">
        <x:v>INCOME</x:v>
      </x:c>
      <x:c r="D32" s="44" t="n">
        <x:v>950000</x:v>
      </x:c>
      <x:c r="E32" s="31" t="str">
        <x:v>CONSIG 06/08/24</x:v>
      </x:c>
    </x:row>
    <x:row r="33">
      <x:c r="A33" s="31" t="str">
        <x:v>Hoja 4</x:v>
      </x:c>
      <x:c r="B33" s="31" t="n">
        <x:v>17</x:v>
      </x:c>
      <x:c r="C33" s="31" t="str">
        <x:v>EXPENSE</x:v>
      </x:c>
      <x:c r="D33" s="44" t="n">
        <x:v>32673</x:v>
      </x:c>
      <x:c r="E33" s="31" t="str">
        <x:v>HIERROS BTA 06/08/24</x:v>
      </x:c>
    </x:row>
    <x:row r="34">
      <x:c r="A34" s="31" t="str">
        <x:v>Hoja 4</x:v>
      </x:c>
      <x:c r="B34" s="31" t="n">
        <x:v>18</x:v>
      </x:c>
      <x:c r="C34" s="31" t="str">
        <x:v>INCOME</x:v>
      </x:c>
      <x:c r="D34" s="44" t="n">
        <x:v>800000</x:v>
      </x:c>
      <x:c r="E34" s="31" t="str">
        <x:v>CONSIG 06/08/24</x:v>
      </x:c>
    </x:row>
    <x:row r="35">
      <x:c r="A35" s="31" t="str">
        <x:v>Hoja 4</x:v>
      </x:c>
      <x:c r="B35" s="31" t="n">
        <x:v>18</x:v>
      </x:c>
      <x:c r="C35" s="31" t="str">
        <x:v>EXPENSE</x:v>
      </x:c>
      <x:c r="D35" s="44" t="n">
        <x:v>320000</x:v>
      </x:c>
      <x:c r="E35" s="31" t="str">
        <x:v>MANUEL ROJAS 08/08/24</x:v>
      </x:c>
    </x:row>
    <x:row r="36">
      <x:c r="A36" s="31" t="str">
        <x:v>Hoja 4</x:v>
      </x:c>
      <x:c r="B36" s="31" t="n">
        <x:v>19</x:v>
      </x:c>
      <x:c r="C36" s="31" t="str">
        <x:v>INCOME</x:v>
      </x:c>
      <x:c r="D36" s="44" t="n">
        <x:v>1100000</x:v>
      </x:c>
      <x:c r="E36" s="31" t="str">
        <x:v>CONSIG 06/08/24</x:v>
      </x:c>
    </x:row>
    <x:row r="37">
      <x:c r="A37" s="31" t="str">
        <x:v>Hoja 4</x:v>
      </x:c>
      <x:c r="B37" s="31" t="n">
        <x:v>19</x:v>
      </x:c>
      <x:c r="C37" s="31" t="str">
        <x:v>EXPENSE</x:v>
      </x:c>
      <x:c r="D37" s="44" t="n">
        <x:v>170000</x:v>
      </x:c>
      <x:c r="E37" s="31" t="str">
        <x:v>NEQUI 08/08/24</x:v>
      </x:c>
    </x:row>
    <x:row r="38">
      <x:c r="A38" s="31" t="str">
        <x:v>Hoja 4</x:v>
      </x:c>
      <x:c r="B38" s="31" t="n">
        <x:v>20</x:v>
      </x:c>
      <x:c r="C38" s="31" t="str">
        <x:v>INCOME</x:v>
      </x:c>
      <x:c r="D38" s="44" t="n">
        <x:v>1600000</x:v>
      </x:c>
      <x:c r="E38" s="31" t="str">
        <x:v>CONSIG 06/08/24</x:v>
      </x:c>
    </x:row>
    <x:row r="39">
      <x:c r="A39" s="31" t="str">
        <x:v>Hoja 4</x:v>
      </x:c>
      <x:c r="B39" s="31" t="n">
        <x:v>20</x:v>
      </x:c>
      <x:c r="C39" s="31" t="str">
        <x:v>EXPENSE</x:v>
      </x:c>
      <x:c r="D39" s="44" t="n">
        <x:v>50000</x:v>
      </x:c>
      <x:c r="E39" s="31" t="str">
        <x:v>NEQUI 08/08/24</x:v>
      </x:c>
    </x:row>
    <x:row r="40">
      <x:c r="A40" s="31" t="str">
        <x:v>Hoja 4</x:v>
      </x:c>
      <x:c r="B40" s="31" t="n">
        <x:v>21</x:v>
      </x:c>
      <x:c r="C40" s="31" t="str">
        <x:v>INCOME</x:v>
      </x:c>
      <x:c r="D40" s="44" t="n">
        <x:v>1173000</x:v>
      </x:c>
      <x:c r="E40" s="31" t="str">
        <x:v>CONSIG 06/08/24</x:v>
      </x:c>
    </x:row>
    <x:row r="41">
      <x:c r="A41" s="31" t="str">
        <x:v>Hoja 4</x:v>
      </x:c>
      <x:c r="B41" s="31" t="n">
        <x:v>21</x:v>
      </x:c>
      <x:c r="C41" s="31" t="str">
        <x:v>EXPENSE</x:v>
      </x:c>
      <x:c r="D41" s="44" t="n">
        <x:v>74500</x:v>
      </x:c>
      <x:c r="E41" s="31" t="str">
        <x:v>NEQUI 09/08/24</x:v>
      </x:c>
    </x:row>
    <x:row r="42">
      <x:c r="A42" s="31" t="str">
        <x:v>Hoja 4</x:v>
      </x:c>
      <x:c r="B42" s="31" t="n">
        <x:v>22</x:v>
      </x:c>
      <x:c r="C42" s="31" t="str">
        <x:v>INCOME</x:v>
      </x:c>
      <x:c r="D42" s="44" t="n">
        <x:v>670000</x:v>
      </x:c>
      <x:c r="E42" s="31" t="str">
        <x:v>CNB REDES 06/08/24</x:v>
      </x:c>
    </x:row>
    <x:row r="43">
      <x:c r="A43" s="31" t="str">
        <x:v>Hoja 4</x:v>
      </x:c>
      <x:c r="B43" s="31" t="n">
        <x:v>22</x:v>
      </x:c>
      <x:c r="C43" s="31" t="str">
        <x:v>EXPENSE</x:v>
      </x:c>
      <x:c r="D43" s="44" t="n">
        <x:v>1600000</x:v>
      </x:c>
      <x:c r="E43" s="31" t="str">
        <x:v>TRANSFE CTA 15342192201 10/08/24</x:v>
      </x:c>
    </x:row>
    <x:row r="44">
      <x:c r="A44" s="31" t="str">
        <x:v>Hoja 4</x:v>
      </x:c>
      <x:c r="B44" s="31" t="n">
        <x:v>23</x:v>
      </x:c>
      <x:c r="C44" s="31" t="str">
        <x:v>INCOME</x:v>
      </x:c>
      <x:c r="D44" s="44" t="n">
        <x:v>1092800</x:v>
      </x:c>
      <x:c r="E44" s="31" t="str">
        <x:v>CTA 860034137 DAVIVIENDA 06/08/24</x:v>
      </x:c>
    </x:row>
    <x:row r="45">
      <x:c r="A45" s="31" t="str">
        <x:v>Hoja 4</x:v>
      </x:c>
      <x:c r="B45" s="31" t="n">
        <x:v>23</x:v>
      </x:c>
      <x:c r="C45" s="31" t="str">
        <x:v>EXPENSE</x:v>
      </x:c>
      <x:c r="D45" s="44" t="n">
        <x:v>14000000</x:v>
      </x:c>
      <x:c r="E45" s="31" t="str">
        <x:v>DEBITO TARJETA 10/08/24  VALVANERA</x:v>
      </x:c>
    </x:row>
    <x:row r="46">
      <x:c r="A46" s="31" t="str">
        <x:v>Hoja 4</x:v>
      </x:c>
      <x:c r="B46" s="31" t="n">
        <x:v>24</x:v>
      </x:c>
      <x:c r="C46" s="31" t="str">
        <x:v>INCOME</x:v>
      </x:c>
      <x:c r="D46" s="44" t="n">
        <x:v>1100000</x:v>
      </x:c>
      <x:c r="E46" s="31" t="str">
        <x:v>VERONICA QUINTANA CTA 1045019927 06/08/24</x:v>
      </x:c>
    </x:row>
    <x:row r="47">
      <x:c r="A47" s="31" t="str">
        <x:v>Hoja 4</x:v>
      </x:c>
      <x:c r="B47" s="31" t="n">
        <x:v>24</x:v>
      </x:c>
      <x:c r="C47" s="31" t="str">
        <x:v>EXPENSE</x:v>
      </x:c>
      <x:c r="D47" s="44" t="n">
        <x:v>77244</x:v>
      </x:c>
      <x:c r="E47" s="31" t="str">
        <x:v>4X1000  10/08/24</x:v>
      </x:c>
    </x:row>
    <x:row r="48">
      <x:c r="A48" s="31" t="str">
        <x:v>Hoja 4</x:v>
      </x:c>
      <x:c r="B48" s="31" t="n">
        <x:v>25</x:v>
      </x:c>
      <x:c r="C48" s="31" t="str">
        <x:v>INCOME</x:v>
      </x:c>
      <x:c r="D48" s="44" t="n">
        <x:v>1000000</x:v>
      </x:c>
      <x:c r="E48" s="31" t="str">
        <x:v>TRANS CTA 9122713434 ANDRES APRAEZ? 06/08/24</x:v>
      </x:c>
    </x:row>
    <x:row r="49">
      <x:c r="A49" s="31" t="str">
        <x:v>Hoja 4</x:v>
      </x:c>
      <x:c r="B49" s="31" t="n">
        <x:v>25</x:v>
      </x:c>
      <x:c r="C49" s="31" t="str">
        <x:v>EXPENSE</x:v>
      </x:c>
      <x:c r="D49" s="44" t="n">
        <x:v>1690000</x:v>
      </x:c>
      <x:c r="E49" s="31" t="str">
        <x:v>TRANSFE NEQUI 10/08/24</x:v>
      </x:c>
    </x:row>
    <x:row r="50">
      <x:c r="A50" s="31" t="str">
        <x:v>Hoja 4</x:v>
      </x:c>
      <x:c r="B50" s="31" t="n">
        <x:v>26</x:v>
      </x:c>
      <x:c r="C50" s="31" t="str">
        <x:v>INCOME</x:v>
      </x:c>
      <x:c r="D50" s="44" t="n">
        <x:v>284000</x:v>
      </x:c>
      <x:c r="E50" s="31" t="str">
        <x:v>NEQUI DE ANDRES APRAEZ 06/08/24</x:v>
      </x:c>
    </x:row>
    <x:row r="51">
      <x:c r="A51" s="31" t="str">
        <x:v>Hoja 4</x:v>
      </x:c>
      <x:c r="B51" s="31" t="n">
        <x:v>26</x:v>
      </x:c>
      <x:c r="C51" s="31" t="str">
        <x:v>EXPENSE</x:v>
      </x:c>
      <x:c r="D51" s="44" t="n">
        <x:v>600000</x:v>
      </x:c>
      <x:c r="E51" s="31" t="str">
        <x:v>TRANSFE CTA 13147015028</x:v>
      </x:c>
    </x:row>
    <x:row r="52">
      <x:c r="A52" s="31" t="str">
        <x:v>Hoja 4</x:v>
      </x:c>
      <x:c r="B52" s="31" t="n">
        <x:v>27</x:v>
      </x:c>
      <x:c r="C52" s="31" t="str">
        <x:v>INCOME</x:v>
      </x:c>
      <x:c r="D52" s="44" t="n">
        <x:v>1030000</x:v>
      </x:c>
      <x:c r="E52" s="31" t="str">
        <x:v>NEQUI NICO ARRIENDO NARIÑO 08/08/24</x:v>
      </x:c>
    </x:row>
    <x:row r="53">
      <x:c r="A53" s="31" t="str">
        <x:v>Hoja 4</x:v>
      </x:c>
      <x:c r="B53" s="31" t="n">
        <x:v>27</x:v>
      </x:c>
      <x:c r="C53" s="31" t="str">
        <x:v>EXPENSE</x:v>
      </x:c>
      <x:c r="D53" s="44" t="n">
        <x:v>900000</x:v>
      </x:c>
      <x:c r="E53" s="31" t="str">
        <x:v>20768917002 EL 10/08/24</x:v>
      </x:c>
    </x:row>
    <x:row r="54">
      <x:c r="A54" s="31" t="str">
        <x:v>Hoja 4</x:v>
      </x:c>
      <x:c r="B54" s="31" t="n">
        <x:v>28</x:v>
      </x:c>
      <x:c r="C54" s="31" t="str">
        <x:v>INCOME</x:v>
      </x:c>
      <x:c r="D54" s="44" t="n">
        <x:v>3000000</x:v>
      </x:c>
      <x:c r="E54" s="31" t="str">
        <x:v>TRANSF FRAZABELLA 09/08/24</x:v>
      </x:c>
    </x:row>
    <x:row r="55">
      <x:c r="A55" s="31" t="str">
        <x:v>Hoja 4</x:v>
      </x:c>
      <x:c r="B55" s="31" t="n">
        <x:v>28</x:v>
      </x:c>
      <x:c r="C55" s="31" t="str">
        <x:v>EXPENSE</x:v>
      </x:c>
      <x:c r="D55" s="44" t="n">
        <x:v>980000</x:v>
      </x:c>
      <x:c r="E55" s="31" t="str">
        <x:v>23349972107 10/08/24</x:v>
      </x:c>
    </x:row>
    <x:row r="56">
      <x:c r="A56" s="31" t="str">
        <x:v>Hoja 4</x:v>
      </x:c>
      <x:c r="B56" s="31" t="n">
        <x:v>29</x:v>
      </x:c>
      <x:c r="C56" s="31" t="str">
        <x:v>INCOME</x:v>
      </x:c>
      <x:c r="D56" s="44" t="n">
        <x:v>2000000</x:v>
      </x:c>
      <x:c r="E56" s="31" t="str">
        <x:v>TRANSF FRAZABELLA 09/08/24</x:v>
      </x:c>
    </x:row>
    <x:row r="57">
      <x:c r="A57" s="31" t="str">
        <x:v>Hoja 4</x:v>
      </x:c>
      <x:c r="B57" s="31" t="n">
        <x:v>29</x:v>
      </x:c>
      <x:c r="C57" s="31" t="str">
        <x:v>EXPENSE</x:v>
      </x:c>
      <x:c r="D57" s="44" t="n">
        <x:v>1400000</x:v>
      </x:c>
      <x:c r="E57" s="31" t="str">
        <x:v>isla canarias10/08/24</x:v>
      </x:c>
    </x:row>
    <x:row r="58">
      <x:c r="A58" s="31" t="str">
        <x:v>Hoja 4</x:v>
      </x:c>
      <x:c r="B58" s="31" t="n">
        <x:v>30</x:v>
      </x:c>
      <x:c r="C58" s="31" t="str">
        <x:v>INCOME</x:v>
      </x:c>
      <x:c r="D58" s="44" t="n">
        <x:v>900000</x:v>
      </x:c>
      <x:c r="E58" s="31" t="str">
        <x:v>CONSIG 09/08/24</x:v>
      </x:c>
    </x:row>
    <x:row r="59">
      <x:c r="A59" s="31" t="str">
        <x:v>Hoja 4</x:v>
      </x:c>
      <x:c r="B59" s="31" t="n">
        <x:v>30</x:v>
      </x:c>
      <x:c r="C59" s="31" t="str">
        <x:v>EXPENSE</x:v>
      </x:c>
      <x:c r="D59" s="44" t="n">
        <x:v>1700000</x:v>
      </x:c>
      <x:c r="E59" s="31" t="str">
        <x:v>45514</x:v>
      </x:c>
    </x:row>
    <x:row r="60">
      <x:c r="A60" s="31" t="str">
        <x:v>Hoja 4</x:v>
      </x:c>
      <x:c r="B60" s="31" t="n">
        <x:v>31</x:v>
      </x:c>
      <x:c r="C60" s="31" t="str">
        <x:v>INCOME</x:v>
      </x:c>
      <x:c r="D60" s="44" t="n">
        <x:v>600000</x:v>
      </x:c>
      <x:c r="E60" s="31" t="str">
        <x:v>NEQUI JOSE BUITRAGO EDISON STELLA ALDANA 09/08/24</x:v>
      </x:c>
    </x:row>
    <x:row r="61">
      <x:c r="A61" s="31" t="str">
        <x:v>Hoja 4</x:v>
      </x:c>
      <x:c r="B61" s="31" t="n">
        <x:v>31</x:v>
      </x:c>
      <x:c r="C61" s="31" t="str">
        <x:v>EXPENSE</x:v>
      </x:c>
      <x:c r="D61" s="44" t="n">
        <x:v>1238000</x:v>
      </x:c>
      <x:c r="E61" s="31" t="str">
        <x:v>45514</x:v>
      </x:c>
    </x:row>
    <x:row r="62">
      <x:c r="A62" s="31" t="str">
        <x:v>Hoja 4</x:v>
      </x:c>
      <x:c r="B62" s="31" t="n">
        <x:v>32</x:v>
      </x:c>
      <x:c r="C62" s="31" t="str">
        <x:v>INCOME</x:v>
      </x:c>
      <x:c r="D62" s="44" t="n">
        <x:v>900000</x:v>
      </x:c>
      <x:c r="E62" s="31" t="str">
        <x:v>NEQUI NIKO COSTA 09/08/24</x:v>
      </x:c>
    </x:row>
    <x:row r="63">
      <x:c r="A63" s="31" t="str">
        <x:v>Hoja 4</x:v>
      </x:c>
      <x:c r="B63" s="31" t="n">
        <x:v>32</x:v>
      </x:c>
      <x:c r="C63" s="31" t="str">
        <x:v>EXPENSE</x:v>
      </x:c>
      <x:c r="D63" s="44" t="n">
        <x:v>1486000</x:v>
      </x:c>
      <x:c r="E63" s="31" t="str">
        <x:v>10/08/24 patricia diaz</x:v>
      </x:c>
    </x:row>
    <x:row r="64">
      <x:c r="A64" s="31" t="str">
        <x:v>Hoja 4</x:v>
      </x:c>
      <x:c r="B64" s="31" t="n">
        <x:v>33</x:v>
      </x:c>
      <x:c r="C64" s="31" t="str">
        <x:v>INCOME</x:v>
      </x:c>
      <x:c r="D64" s="44" t="n">
        <x:v>820000</x:v>
      </x:c>
      <x:c r="E64" s="31" t="str">
        <x:v>transfe cta 91222847015 EL 12/08/24</x:v>
      </x:c>
    </x:row>
    <x:row r="65">
      <x:c r="A65" s="31" t="str">
        <x:v>Hoja 4</x:v>
      </x:c>
      <x:c r="B65" s="31" t="n">
        <x:v>33</x:v>
      </x:c>
      <x:c r="C65" s="31" t="str">
        <x:v>EXPENSE</x:v>
      </x:c>
      <x:c r="D65" s="44" t="n">
        <x:v>670000</x:v>
      </x:c>
      <x:c r="E65" s="31" t="str">
        <x:v>10/08/24 nequi</x:v>
      </x:c>
    </x:row>
    <x:row r="66">
      <x:c r="A66" s="31" t="str">
        <x:v>Hoja 4</x:v>
      </x:c>
      <x:c r="B66" s="31" t="n">
        <x:v>34</x:v>
      </x:c>
      <x:c r="C66" s="31" t="str">
        <x:v>INCOME</x:v>
      </x:c>
      <x:c r="D66" s="44" t="n">
        <x:v>2700000</x:v>
      </x:c>
      <x:c r="E66" s="31" t="str">
        <x:v>12/08/24 - MANUEL</x:v>
      </x:c>
    </x:row>
    <x:row r="67">
      <x:c r="A67" s="31" t="str">
        <x:v>Hoja 4</x:v>
      </x:c>
      <x:c r="B67" s="31" t="n">
        <x:v>34</x:v>
      </x:c>
      <x:c r="C67" s="31" t="str">
        <x:v>EXPENSE</x:v>
      </x:c>
      <x:c r="D67" s="44" t="n">
        <x:v>1023500</x:v>
      </x:c>
      <x:c r="E67" s="31" t="str">
        <x:v>10/08/24 nequi</x:v>
      </x:c>
    </x:row>
    <x:row r="68">
      <x:c r="A68" s="31" t="str">
        <x:v>Hoja 4</x:v>
      </x:c>
      <x:c r="B68" s="31" t="n">
        <x:v>35</x:v>
      </x:c>
      <x:c r="C68" s="31" t="str">
        <x:v>INCOME</x:v>
      </x:c>
      <x:c r="D68" s="44" t="n">
        <x:v>1050000</x:v>
      </x:c>
      <x:c r="E68" s="31" t="str">
        <x:v>13/08/24 FRAZABELLA</x:v>
      </x:c>
    </x:row>
    <x:row r="69">
      <x:c r="A69" s="31" t="str">
        <x:v>Hoja 4</x:v>
      </x:c>
      <x:c r="B69" s="31" t="n">
        <x:v>35</x:v>
      </x:c>
      <x:c r="C69" s="31" t="str">
        <x:v>EXPENSE</x:v>
      </x:c>
      <x:c r="D69" s="44" t="n">
        <x:v>28760</x:v>
      </x:c>
      <x:c r="E69" s="31" t="str">
        <x:v>11/08/24 comision transferencias</x:v>
      </x:c>
    </x:row>
    <x:row r="70">
      <x:c r="A70" s="31" t="str">
        <x:v>Hoja 4</x:v>
      </x:c>
      <x:c r="B70" s="31" t="n">
        <x:v>36</x:v>
      </x:c>
      <x:c r="C70" s="31" t="str">
        <x:v>INCOME</x:v>
      </x:c>
      <x:c r="D70" s="44" t="n">
        <x:v>200000</x:v>
      </x:c>
      <x:c r="E70" s="31" t="str">
        <x:v>13/08/24 SOFIA VALLEJO CLAUSULA</x:v>
      </x:c>
    </x:row>
    <x:row r="71">
      <x:c r="A71" s="31" t="str">
        <x:v>Hoja 4</x:v>
      </x:c>
      <x:c r="B71" s="31" t="n">
        <x:v>36</x:v>
      </x:c>
      <x:c r="C71" s="31" t="str">
        <x:v>EXPENSE</x:v>
      </x:c>
      <x:c r="D71" s="44" t="n">
        <x:v>5464</x:v>
      </x:c>
      <x:c r="E71" s="31" t="str">
        <x:v>11/08/24 iva</x:v>
      </x:c>
    </x:row>
    <x:row r="72">
      <x:c r="A72" s="31" t="str">
        <x:v>Hoja 4</x:v>
      </x:c>
      <x:c r="B72" s="31" t="n">
        <x:v>37</x:v>
      </x:c>
      <x:c r="C72" s="31" t="str">
        <x:v>INCOME</x:v>
      </x:c>
      <x:c r="D72" s="44" t="n">
        <x:v>250000</x:v>
      </x:c>
      <x:c r="E72" s="31" t="str">
        <x:v>45519</x:v>
      </x:c>
    </x:row>
    <x:row r="73">
      <x:c r="A73" s="31" t="str">
        <x:v>Hoja 4</x:v>
      </x:c>
      <x:c r="B73" s="31" t="n">
        <x:v>37</x:v>
      </x:c>
      <x:c r="C73" s="31" t="str">
        <x:v>EXPENSE</x:v>
      </x:c>
      <x:c r="D73" s="44" t="n">
        <x:v>6589</x:v>
      </x:c>
      <x:c r="E73" s="31" t="str">
        <x:v>IVA13/08/24</x:v>
      </x:c>
    </x:row>
    <x:row r="74">
      <x:c r="A74" s="31" t="str">
        <x:v>Hoja 4</x:v>
      </x:c>
      <x:c r="B74" s="31" t="n">
        <x:v>38</x:v>
      </x:c>
      <x:c r="C74" s="31" t="str">
        <x:v>INCOME</x:v>
      </x:c>
      <x:c r="D74" s="44" t="n">
        <x:v>1000000</x:v>
      </x:c>
      <x:c r="E74" s="31" t="str">
        <x:v>18/08/24 CAMILO CONSIG CAJERO</x:v>
      </x:c>
    </x:row>
    <x:row r="75">
      <x:c r="A75" s="31" t="str">
        <x:v>Hoja 4</x:v>
      </x:c>
      <x:c r="B75" s="31" t="n">
        <x:v>38</x:v>
      </x:c>
      <x:c r="C75" s="31" t="str">
        <x:v>EXPENSE</x:v>
      </x:c>
      <x:c r="D75" s="44" t="n">
        <x:v>1350000</x:v>
      </x:c>
      <x:c r="E75" s="31" t="str">
        <x:v>NEQUI 13/08/24 TACOS NUEVO LOCAL</x:v>
      </x:c>
    </x:row>
    <x:row r="76">
      <x:c r="A76" s="31" t="str">
        <x:v>Hoja 4</x:v>
      </x:c>
      <x:c r="B76" s="31" t="n">
        <x:v>39</x:v>
      </x:c>
      <x:c r="C76" s="31" t="str">
        <x:v>INCOME</x:v>
      </x:c>
      <x:c r="D76" s="44" t="n">
        <x:v>220000</x:v>
      </x:c>
      <x:c r="E76" s="31" t="str">
        <x:v>45525</x:v>
      </x:c>
    </x:row>
    <x:row r="77">
      <x:c r="A77" s="31" t="str">
        <x:v>Hoja 4</x:v>
      </x:c>
      <x:c r="B77" s="31" t="n">
        <x:v>39</x:v>
      </x:c>
      <x:c r="C77" s="31" t="str">
        <x:v>EXPENSE</x:v>
      </x:c>
      <x:c r="D77" s="44" t="n">
        <x:v>20900</x:v>
      </x:c>
      <x:c r="E77" s="31" t="str">
        <x:v>13/08/24 CERTIFICADO CTL</x:v>
      </x:c>
    </x:row>
    <x:row r="78">
      <x:c r="A78" s="31" t="str">
        <x:v>Hoja 4</x:v>
      </x:c>
      <x:c r="B78" s="31" t="n">
        <x:v>40</x:v>
      </x:c>
      <x:c r="C78" s="31" t="str">
        <x:v>INCOME</x:v>
      </x:c>
      <x:c r="D78" s="44" t="n">
        <x:v>290000</x:v>
      </x:c>
      <x:c r="E78" s="31" t="str">
        <x:v>45525</x:v>
      </x:c>
    </x:row>
    <x:row r="79">
      <x:c r="A79" s="31" t="str">
        <x:v>Hoja 4</x:v>
      </x:c>
      <x:c r="B79" s="31" t="n">
        <x:v>40</x:v>
      </x:c>
      <x:c r="C79" s="31" t="str">
        <x:v>EXPENSE</x:v>
      </x:c>
      <x:c r="D79" s="44" t="n">
        <x:v>24000</x:v>
      </x:c>
      <x:c r="E79" s="31" t="str">
        <x:v>13/08/24 NEQUI OBRA PRADO</x:v>
      </x:c>
    </x:row>
    <x:row r="80">
      <x:c r="A80" s="31" t="str">
        <x:v>Hoja 4</x:v>
      </x:c>
      <x:c r="B80" s="31" t="n">
        <x:v>41</x:v>
      </x:c>
      <x:c r="C80" s="31" t="str">
        <x:v>INCOME</x:v>
      </x:c>
      <x:c r="D80" s="44" t="n">
        <x:v>140000</x:v>
      </x:c>
      <x:c r="E80" s="31" t="str">
        <x:v>21/08/24 CAMILO OQUENDO</x:v>
      </x:c>
    </x:row>
    <x:row r="81">
      <x:c r="A81" s="31" t="str">
        <x:v>Hoja 4</x:v>
      </x:c>
      <x:c r="B81" s="31" t="n">
        <x:v>41</x:v>
      </x:c>
      <x:c r="C81" s="31" t="str">
        <x:v>EXPENSE</x:v>
      </x:c>
      <x:c r="D81" s="44" t="n">
        <x:v>200000</x:v>
      </x:c>
      <x:c r="E81" s="31" t="str">
        <x:v>NEQUI 13/08/24</x:v>
      </x:c>
    </x:row>
    <x:row r="82">
      <x:c r="A82" s="31" t="str">
        <x:v>Hoja 4</x:v>
      </x:c>
      <x:c r="B82" s="31" t="n">
        <x:v>42</x:v>
      </x:c>
      <x:c r="C82" s="31" t="str">
        <x:v>INCOME</x:v>
      </x:c>
      <x:c r="D82" s="44" t="n">
        <x:v>760000</x:v>
      </x:c>
      <x:c r="E82" s="31" t="str">
        <x:v>45525</x:v>
      </x:c>
    </x:row>
    <x:row r="83">
      <x:c r="A83" s="31" t="str">
        <x:v>Hoja 4</x:v>
      </x:c>
      <x:c r="B83" s="31" t="n">
        <x:v>42</x:v>
      </x:c>
      <x:c r="C83" s="31" t="str">
        <x:v>EXPENSE</x:v>
      </x:c>
      <x:c r="D83" s="44" t="n">
        <x:v>52500</x:v>
      </x:c>
      <x:c r="E83" s="31" t="str">
        <x:v>NEQUI 13/08/24</x:v>
      </x:c>
    </x:row>
    <x:row r="84">
      <x:c r="A84" s="31" t="str">
        <x:v>Hoja 4</x:v>
      </x:c>
      <x:c r="B84" s="31" t="n">
        <x:v>43</x:v>
      </x:c>
      <x:c r="C84" s="31" t="str">
        <x:v>INCOME</x:v>
      </x:c>
      <x:c r="D84" s="44" t="n">
        <x:v>2500000</x:v>
      </x:c>
      <x:c r="E84" s="31" t="str">
        <x:v>22/08/24 COLEIGIO CIUDAD JARDIN</x:v>
      </x:c>
    </x:row>
    <x:row r="85">
      <x:c r="A85" s="31" t="str">
        <x:v>Hoja 4</x:v>
      </x:c>
      <x:c r="B85" s="31" t="n">
        <x:v>43</x:v>
      </x:c>
      <x:c r="C85" s="31" t="str">
        <x:v>EXPENSE</x:v>
      </x:c>
      <x:c r="D85" s="44" t="n">
        <x:v>10642</x:v>
      </x:c>
      <x:c r="E85" s="31" t="str">
        <x:v>CUOTA DE MANEJO 14/08/24</x:v>
      </x:c>
    </x:row>
    <x:row r="86">
      <x:c r="A86" s="31" t="str">
        <x:v>Hoja 4</x:v>
      </x:c>
      <x:c r="B86" s="31" t="n">
        <x:v>44</x:v>
      </x:c>
      <x:c r="C86" s="31" t="str">
        <x:v>INCOME</x:v>
      </x:c>
      <x:c r="D86" s="44" t="n">
        <x:v>500000</x:v>
      </x:c>
      <x:c r="E86" s="31" t="str">
        <x:v>26/08/24 FROILA PITALITO</x:v>
      </x:c>
    </x:row>
    <x:row r="87">
      <x:c r="A87" s="31" t="str">
        <x:v>Hoja 4</x:v>
      </x:c>
      <x:c r="B87" s="31" t="n">
        <x:v>44</x:v>
      </x:c>
      <x:c r="C87" s="31" t="str">
        <x:v>EXPENSE</x:v>
      </x:c>
      <x:c r="D87" s="44" t="n">
        <x:v>1000000</x:v>
      </x:c>
      <x:c r="E87" s="31" t="str">
        <x:v>14/08/24 NICOLAS HIPOTECA</x:v>
      </x:c>
    </x:row>
    <x:row r="88">
      <x:c r="A88" s="31" t="str">
        <x:v>Hoja 4</x:v>
      </x:c>
      <x:c r="B88" s="31" t="n">
        <x:v>45</x:v>
      </x:c>
      <x:c r="C88" s="31" t="str">
        <x:v>INCOME</x:v>
      </x:c>
      <x:c r="D88" s="44" t="n">
        <x:v>760000</x:v>
      </x:c>
      <x:c r="E88" s="31" t="str">
        <x:v>45525</x:v>
      </x:c>
    </x:row>
    <x:row r="89">
      <x:c r="A89" s="31" t="str">
        <x:v>Hoja 4</x:v>
      </x:c>
      <x:c r="B89" s="31" t="n">
        <x:v>45</x:v>
      </x:c>
      <x:c r="C89" s="31" t="str">
        <x:v>EXPENSE</x:v>
      </x:c>
      <x:c r="D89" s="44" t="n">
        <x:v>750000</x:v>
      </x:c>
      <x:c r="E89" s="31" t="str">
        <x:v>5357713937 DEL 14/08/24</x:v>
      </x:c>
    </x:row>
    <x:row r="90">
      <x:c r="A90" s="31" t="str">
        <x:v>Hoja 4</x:v>
      </x:c>
      <x:c r="B90" s="31" t="n">
        <x:v>46</x:v>
      </x:c>
      <x:c r="C90" s="31" t="str">
        <x:v>INCOME</x:v>
      </x:c>
      <x:c r="D90" s="44" t="n">
        <x:v>140000</x:v>
      </x:c>
      <x:c r="E90" s="31" t="str">
        <x:v>45556</x:v>
      </x:c>
    </x:row>
    <x:row r="91">
      <x:c r="A91" s="31" t="str">
        <x:v>Hoja 4</x:v>
      </x:c>
      <x:c r="B91" s="31" t="n">
        <x:v>46</x:v>
      </x:c>
      <x:c r="C91" s="31" t="str">
        <x:v>EXPENSE</x:v>
      </x:c>
      <x:c r="D91" s="44" t="n">
        <x:v>7642</x:v>
      </x:c>
      <x:c r="E91" s="31" t="str">
        <x:v>4X1000 DEL 14/08/24</x:v>
      </x:c>
    </x:row>
    <x:row r="92">
      <x:c r="A92" s="31" t="str">
        <x:v>Hoja 4</x:v>
      </x:c>
      <x:c r="B92" s="31" t="n">
        <x:v>47</x:v>
      </x:c>
      <x:c r="C92" s="31" t="str">
        <x:v>INCOME</x:v>
      </x:c>
      <x:c r="D92" s="44" t="n">
        <x:v>650000</x:v>
      </x:c>
      <x:c r="E92" s="31" t="str">
        <x:v>45556</x:v>
      </x:c>
    </x:row>
    <x:row r="93">
      <x:c r="A93" s="31" t="str">
        <x:v>Hoja 4</x:v>
      </x:c>
      <x:c r="B93" s="31" t="n">
        <x:v>47</x:v>
      </x:c>
      <x:c r="C93" s="31" t="str">
        <x:v>EXPENSE</x:v>
      </x:c>
      <x:c r="D93" s="44" t="n">
        <x:v>50000</x:v>
      </x:c>
      <x:c r="E93" s="31" t="str">
        <x:v>GASOLINA NEON 14/08/24</x:v>
      </x:c>
    </x:row>
    <x:row r="94">
      <x:c r="A94" s="31" t="str">
        <x:v>Hoja 4</x:v>
      </x:c>
      <x:c r="B94" s="31" t="n">
        <x:v>48</x:v>
      </x:c>
      <x:c r="C94" s="31" t="str">
        <x:v>INCOME</x:v>
      </x:c>
      <x:c r="D94" s="44" t="n">
        <x:v>2480000</x:v>
      </x:c>
      <x:c r="E94" s="31" t="str">
        <x:v>45565</x:v>
      </x:c>
    </x:row>
    <x:row r="95">
      <x:c r="A95" s="31" t="str">
        <x:v>Hoja 4</x:v>
      </x:c>
      <x:c r="B95" s="31" t="n">
        <x:v>48</x:v>
      </x:c>
      <x:c r="C95" s="31" t="str">
        <x:v>EXPENSE</x:v>
      </x:c>
      <x:c r="D95" s="44" t="n">
        <x:v>100000</x:v>
      </x:c>
      <x:c r="E95" s="31" t="str">
        <x:v>TRANSFERENCIA NEQUI 14/08/24</x:v>
      </x:c>
    </x:row>
    <x:row r="96">
      <x:c r="A96" s="31" t="str">
        <x:v>Hoja 4</x:v>
      </x:c>
      <x:c r="B96" s="31" t="n">
        <x:v>49</x:v>
      </x:c>
      <x:c r="C96" s="31" t="str">
        <x:v>EXPENSE</x:v>
      </x:c>
      <x:c r="D96" s="44" t="n">
        <x:v>1240</x:v>
      </x:c>
      <x:c r="E96" s="31" t="str">
        <x:v>4X1000 15/08/24</x:v>
      </x:c>
    </x:row>
    <x:row r="97">
      <x:c r="A97" s="31" t="str">
        <x:v>Hoja 4</x:v>
      </x:c>
      <x:c r="B97" s="31" t="n">
        <x:v>50</x:v>
      </x:c>
      <x:c r="C97" s="31" t="str">
        <x:v>EXPENSE</x:v>
      </x:c>
      <x:c r="D97" s="44" t="n">
        <x:v>60000</x:v>
      </x:c>
      <x:c r="E97" s="31" t="str">
        <x:v>NEQUI 15/08/24</x:v>
      </x:c>
    </x:row>
    <x:row r="98">
      <x:c r="A98" s="31" t="str">
        <x:v>Hoja 4</x:v>
      </x:c>
      <x:c r="B98" s="31" t="n">
        <x:v>51</x:v>
      </x:c>
      <x:c r="C98" s="31" t="str">
        <x:v>EXPENSE</x:v>
      </x:c>
      <x:c r="D98" s="44" t="n">
        <x:v>250000</x:v>
      </x:c>
      <x:c r="E98" s="31" t="str">
        <x:v>NEQUI 15/08/24</x:v>
      </x:c>
    </x:row>
    <x:row r="99">
      <x:c r="A99" s="31" t="str">
        <x:v>Hoja 4</x:v>
      </x:c>
      <x:c r="B99" s="31" t="n">
        <x:v>52</x:v>
      </x:c>
      <x:c r="C99" s="31" t="str">
        <x:v>EXPENSE</x:v>
      </x:c>
      <x:c r="D99" s="44" t="n">
        <x:v>500</x:v>
      </x:c>
      <x:c r="E99" s="31" t="str">
        <x:v>4X1000 16/08/24</x:v>
      </x:c>
    </x:row>
    <x:row r="100">
      <x:c r="A100" s="31" t="str">
        <x:v>Hoja 4</x:v>
      </x:c>
      <x:c r="B100" s="31" t="n">
        <x:v>53</x:v>
      </x:c>
      <x:c r="C100" s="31" t="str">
        <x:v>EXPENSE</x:v>
      </x:c>
      <x:c r="D100" s="44" t="n">
        <x:v>125000</x:v>
      </x:c>
      <x:c r="E100" s="31" t="str">
        <x:v>METRO 2 16/08/24</x:v>
      </x:c>
    </x:row>
    <x:row r="101">
      <x:c r="A101" s="31" t="str">
        <x:v>Hoja 4</x:v>
      </x:c>
      <x:c r="B101" s="31" t="n">
        <x:v>54</x:v>
      </x:c>
      <x:c r="C101" s="31" t="str">
        <x:v>EXPENSE</x:v>
      </x:c>
      <x:c r="D101" s="44" t="n">
        <x:v>4000</x:v>
      </x:c>
      <x:c r="E101" s="31" t="str">
        <x:v>4*X1000 17/08/24</x:v>
      </x:c>
    </x:row>
    <x:row r="102">
      <x:c r="A102" s="31" t="str">
        <x:v>Hoja 4</x:v>
      </x:c>
      <x:c r="B102" s="31" t="n">
        <x:v>55</x:v>
      </x:c>
      <x:c r="C102" s="31" t="str">
        <x:v>EXPENSE</x:v>
      </x:c>
      <x:c r="D102" s="44" t="n">
        <x:v>1000000</x:v>
      </x:c>
      <x:c r="E102" s="31" t="str">
        <x:v>RETIRO CAJERO 17/08/24</x:v>
      </x:c>
    </x:row>
    <x:row r="103">
      <x:c r="A103" s="31" t="str">
        <x:v>Hoja 4</x:v>
      </x:c>
      <x:c r="B103" s="31" t="n">
        <x:v>56</x:v>
      </x:c>
      <x:c r="C103" s="31" t="str">
        <x:v>EXPENSE</x:v>
      </x:c>
      <x:c r="D103" s="44" t="n">
        <x:v>1000000</x:v>
      </x:c>
      <x:c r="E103" s="31" t="str">
        <x:v>TRANSFE NEQUI 17/08/24 CAMILO</x:v>
      </x:c>
    </x:row>
    <x:row r="104">
      <x:c r="A104" s="31" t="str">
        <x:v>Hoja 4</x:v>
      </x:c>
      <x:c r="B104" s="31" t="n">
        <x:v>57</x:v>
      </x:c>
      <x:c r="C104" s="31" t="str">
        <x:v>EXPENSE</x:v>
      </x:c>
      <x:c r="D104" s="44" t="n">
        <x:v>4000</x:v>
      </x:c>
      <x:c r="E104" s="31" t="str">
        <x:v>4X1000 18/08/24</x:v>
      </x:c>
    </x:row>
    <x:row r="105">
      <x:c r="A105" s="31" t="str">
        <x:v>Hoja 4</x:v>
      </x:c>
      <x:c r="B105" s="31" t="n">
        <x:v>58</x:v>
      </x:c>
      <x:c r="C105" s="31" t="str">
        <x:v>EXPENSE</x:v>
      </x:c>
      <x:c r="D105" s="44" t="n">
        <x:v>185768</x:v>
      </x:c>
      <x:c r="E105" s="31" t="str">
        <x:v>ABONO A CUENTA DE 5</x:v>
      </x:c>
    </x:row>
    <x:row r="106">
      <x:c r="A106" s="31" t="str">
        <x:v>Hoja 4</x:v>
      </x:c>
      <x:c r="B106" s="31" t="n">
        <x:v>59</x:v>
      </x:c>
      <x:c r="C106" s="31" t="str">
        <x:v>EXPENSE</x:v>
      </x:c>
      <x:c r="D106" s="44" t="n">
        <x:v>197140</x:v>
      </x:c>
      <x:c r="E106" s="31" t="str">
        <x:v>VANTI 20/08/24</x:v>
      </x:c>
    </x:row>
    <x:row r="107">
      <x:c r="A107" s="31" t="str">
        <x:v>Hoja 4</x:v>
      </x:c>
      <x:c r="B107" s="31" t="n">
        <x:v>60</x:v>
      </x:c>
      <x:c r="C107" s="31" t="str">
        <x:v>EXPENSE</x:v>
      </x:c>
      <x:c r="D107" s="44" t="n">
        <x:v>323020</x:v>
      </x:c>
      <x:c r="E107" s="31" t="str">
        <x:v>ENEL 20/08/24</x:v>
      </x:c>
    </x:row>
    <x:row r="108">
      <x:c r="A108" s="31" t="str">
        <x:v>Hoja 4</x:v>
      </x:c>
      <x:c r="B108" s="31" t="n">
        <x:v>61</x:v>
      </x:c>
      <x:c r="C108" s="31" t="str">
        <x:v>EXPENSE</x:v>
      </x:c>
      <x:c r="D108" s="44" t="n">
        <x:v>184280</x:v>
      </x:c>
      <x:c r="E108" s="31" t="str">
        <x:v>ENEL 20/08/24</x:v>
      </x:c>
    </x:row>
    <x:row r="109">
      <x:c r="A109" s="31" t="str">
        <x:v>Hoja 4</x:v>
      </x:c>
      <x:c r="B109" s="31" t="n">
        <x:v>62</x:v>
      </x:c>
      <x:c r="C109" s="31" t="str">
        <x:v>EXPENSE</x:v>
      </x:c>
      <x:c r="D109" s="44" t="n">
        <x:v>504380</x:v>
      </x:c>
      <x:c r="E109" s="31" t="str">
        <x:v>ENEL 20/08/24</x:v>
      </x:c>
    </x:row>
    <x:row r="110">
      <x:c r="A110" s="31" t="str">
        <x:v>Hoja 4</x:v>
      </x:c>
      <x:c r="B110" s="31" t="n">
        <x:v>63</x:v>
      </x:c>
      <x:c r="C110" s="31" t="str">
        <x:v>EXPENSE</x:v>
      </x:c>
      <x:c r="D110" s="44" t="n">
        <x:v>398500</x:v>
      </x:c>
      <x:c r="E110" s="31" t="str">
        <x:v>COMPENSAR 20/08/24</x:v>
      </x:c>
    </x:row>
    <x:row r="111">
      <x:c r="A111" s="31" t="str">
        <x:v>Hoja 4</x:v>
      </x:c>
      <x:c r="B111" s="31" t="n">
        <x:v>64</x:v>
      </x:c>
      <x:c r="C111" s="31" t="str">
        <x:v>EXPENSE</x:v>
      </x:c>
      <x:c r="D111" s="44" t="n">
        <x:v>9680</x:v>
      </x:c>
      <x:c r="E111" s="31" t="str">
        <x:v>VANTI 20/08/24</x:v>
      </x:c>
    </x:row>
    <x:row r="112">
      <x:c r="A112" s="31" t="str">
        <x:v>Hoja 4</x:v>
      </x:c>
      <x:c r="B112" s="31" t="n">
        <x:v>65</x:v>
      </x:c>
      <x:c r="C112" s="31" t="str">
        <x:v>EXPENSE</x:v>
      </x:c>
      <x:c r="D112" s="44" t="n">
        <x:v>785520</x:v>
      </x:c>
      <x:c r="E112" s="31" t="str">
        <x:v>ENEL 20/08/24</x:v>
      </x:c>
    </x:row>
    <x:row r="113">
      <x:c r="A113" s="31" t="str">
        <x:v>Hoja 4</x:v>
      </x:c>
      <x:c r="B113" s="31" t="n">
        <x:v>66</x:v>
      </x:c>
      <x:c r="C113" s="31" t="str">
        <x:v>EXPENSE</x:v>
      </x:c>
      <x:c r="D113" s="44" t="n">
        <x:v>372300</x:v>
      </x:c>
      <x:c r="E113" s="31" t="str">
        <x:v>COMPENSAR 20/08/24</x:v>
      </x:c>
    </x:row>
    <x:row r="114">
      <x:c r="A114" s="31" t="str">
        <x:v>Hoja 4</x:v>
      </x:c>
      <x:c r="B114" s="31" t="n">
        <x:v>67</x:v>
      </x:c>
      <x:c r="C114" s="31" t="str">
        <x:v>EXPENSE</x:v>
      </x:c>
      <x:c r="D114" s="44" t="n">
        <x:v>316481</x:v>
      </x:c>
      <x:c r="E114" s="31" t="str">
        <x:v>MOVISTAR NORTE  20/08/24</x:v>
      </x:c>
    </x:row>
    <x:row r="115">
      <x:c r="A115" s="31" t="str">
        <x:v>Hoja 4</x:v>
      </x:c>
      <x:c r="B115" s="31" t="n">
        <x:v>68</x:v>
      </x:c>
      <x:c r="C115" s="31" t="str">
        <x:v>EXPENSE</x:v>
      </x:c>
      <x:c r="D115" s="44" t="n">
        <x:v>48223</x:v>
      </x:c>
      <x:c r="E115" s="31" t="str">
        <x:v>VANTI 20/08/24</x:v>
      </x:c>
    </x:row>
    <x:row r="116">
      <x:c r="A116" s="31" t="str">
        <x:v>Hoja 4</x:v>
      </x:c>
      <x:c r="B116" s="31" t="n">
        <x:v>69</x:v>
      </x:c>
      <x:c r="C116" s="31" t="str">
        <x:v>EXPENSE</x:v>
      </x:c>
      <x:c r="D116" s="44" t="n">
        <x:v>3700</x:v>
      </x:c>
      <x:c r="E116" s="31" t="str">
        <x:v>CERT CAMARA COM 20/08/24</x:v>
      </x:c>
    </x:row>
    <x:row r="117">
      <x:c r="A117" s="31" t="str">
        <x:v>Hoja 4</x:v>
      </x:c>
      <x:c r="B117" s="31" t="n">
        <x:v>70</x:v>
      </x:c>
      <x:c r="C117" s="31" t="str">
        <x:v>EXPENSE</x:v>
      </x:c>
      <x:c r="D117" s="44" t="n">
        <x:v>552170</x:v>
      </x:c>
      <x:c r="E117" s="31" t="str">
        <x:v>VANTI 20/08/24</x:v>
      </x:c>
    </x:row>
    <x:row r="118">
      <x:c r="A118" s="31" t="str">
        <x:v>Hoja 4</x:v>
      </x:c>
      <x:c r="B118" s="31" t="n">
        <x:v>71</x:v>
      </x:c>
      <x:c r="C118" s="31" t="str">
        <x:v>EXPENSE</x:v>
      </x:c>
      <x:c r="D118" s="44" t="n">
        <x:v>330830</x:v>
      </x:c>
      <x:c r="E118" s="31" t="str">
        <x:v>ENEL 20/08/24</x:v>
      </x:c>
    </x:row>
    <x:row r="119">
      <x:c r="A119" s="31" t="str">
        <x:v>Hoja 4</x:v>
      </x:c>
      <x:c r="B119" s="31" t="n">
        <x:v>72</x:v>
      </x:c>
      <x:c r="C119" s="31" t="str">
        <x:v>EXPENSE</x:v>
      </x:c>
      <x:c r="D119" s="44" t="n">
        <x:v>678645</x:v>
      </x:c>
      <x:c r="E119" s="31" t="str">
        <x:v>COMPENSAR 20/08/24</x:v>
      </x:c>
    </x:row>
    <x:row r="120">
      <x:c r="A120" s="31" t="str">
        <x:v>Hoja 4</x:v>
      </x:c>
      <x:c r="B120" s="31" t="n">
        <x:v>73</x:v>
      </x:c>
      <x:c r="C120" s="31" t="str">
        <x:v>EXPENSE</x:v>
      </x:c>
      <x:c r="D120" s="44" t="n">
        <x:v>83140</x:v>
      </x:c>
      <x:c r="E120" s="31" t="str">
        <x:v>VANTI 20/08/24</x:v>
      </x:c>
    </x:row>
    <x:row r="121">
      <x:c r="A121" s="31" t="str">
        <x:v>Hoja 4</x:v>
      </x:c>
      <x:c r="B121" s="31" t="n">
        <x:v>74</x:v>
      </x:c>
      <x:c r="C121" s="31" t="str">
        <x:v>EXPENSE</x:v>
      </x:c>
      <x:c r="D121" s="44" t="n">
        <x:v>19929</x:v>
      </x:c>
      <x:c r="E121" s="31" t="str">
        <x:v>IMPUESTO 4 X 1000 20/08/24</x:v>
      </x:c>
    </x:row>
    <x:row r="122">
      <x:c r="A122" s="31" t="str">
        <x:v>Hoja 4</x:v>
      </x:c>
      <x:c r="B122" s="31" t="n">
        <x:v>75</x:v>
      </x:c>
      <x:c r="C122" s="31" t="str">
        <x:v>EXPENSE</x:v>
      </x:c>
      <x:c r="D122" s="44" t="n">
        <x:v>105360</x:v>
      </x:c>
      <x:c r="E122" s="31" t="str">
        <x:v>VANTI 21/08/24</x:v>
      </x:c>
    </x:row>
    <x:row r="123">
      <x:c r="A123" s="31" t="str">
        <x:v>Hoja 4</x:v>
      </x:c>
      <x:c r="B123" s="31" t="n">
        <x:v>76</x:v>
      </x:c>
      <x:c r="C123" s="31" t="str">
        <x:v>EXPENSE</x:v>
      </x:c>
      <x:c r="D123" s="44" t="n">
        <x:v>3879</x:v>
      </x:c>
      <x:c r="E123" s="31" t="str">
        <x:v>IMPUESTO 4 X 1000 21/08/24</x:v>
      </x:c>
    </x:row>
    <x:row r="124">
      <x:c r="A124" s="31" t="str">
        <x:v>Hoja 4</x:v>
      </x:c>
      <x:c r="B124" s="31" t="n">
        <x:v>77</x:v>
      </x:c>
      <x:c r="C124" s="31" t="str">
        <x:v>EXPENSE</x:v>
      </x:c>
      <x:c r="D124" s="44" t="n">
        <x:v>146720</x:v>
      </x:c>
      <x:c r="E124" s="31" t="str">
        <x:v>ENEL 21/08/24</x:v>
      </x:c>
    </x:row>
    <x:row r="125">
      <x:c r="A125" s="31" t="str">
        <x:v>Hoja 4</x:v>
      </x:c>
      <x:c r="B125" s="31" t="n">
        <x:v>78</x:v>
      </x:c>
      <x:c r="C125" s="31" t="str">
        <x:v>EXPENSE</x:v>
      </x:c>
      <x:c r="D125" s="44" t="n">
        <x:v>20900</x:v>
      </x:c>
      <x:c r="E125" s="31" t="str">
        <x:v>CTL 21/08/24</x:v>
      </x:c>
    </x:row>
    <x:row r="126">
      <x:c r="A126" s="31" t="str">
        <x:v>Hoja 4</x:v>
      </x:c>
      <x:c r="B126" s="31" t="n">
        <x:v>79</x:v>
      </x:c>
      <x:c r="C126" s="31" t="str">
        <x:v>EXPENSE</x:v>
      </x:c>
      <x:c r="D126" s="44" t="n">
        <x:v>468890</x:v>
      </x:c>
      <x:c r="E126" s="31" t="str">
        <x:v>ENEL 21/08/24</x:v>
      </x:c>
    </x:row>
    <x:row r="127">
      <x:c r="A127" s="31" t="str">
        <x:v>Hoja 4</x:v>
      </x:c>
      <x:c r="B127" s="31" t="n">
        <x:v>80</x:v>
      </x:c>
      <x:c r="C127" s="31" t="str">
        <x:v>EXPENSE</x:v>
      </x:c>
      <x:c r="D127" s="44" t="n">
        <x:v>137655</x:v>
      </x:c>
      <x:c r="E127" s="31" t="str">
        <x:v>21/08/24 COMPENSAR</x:v>
      </x:c>
    </x:row>
    <x:row r="128">
      <x:c r="A128" s="31" t="str">
        <x:v>Hoja 4</x:v>
      </x:c>
      <x:c r="B128" s="31" t="n">
        <x:v>81</x:v>
      </x:c>
      <x:c r="C128" s="31" t="str">
        <x:v>EXPENSE</x:v>
      </x:c>
      <x:c r="D128" s="44" t="n">
        <x:v>66273</x:v>
      </x:c>
      <x:c r="E128" s="31" t="str">
        <x:v>21/08/24 CELULAR JDBP</x:v>
      </x:c>
    </x:row>
    <x:row r="129">
      <x:c r="A129" s="31" t="str">
        <x:v>Hoja 4</x:v>
      </x:c>
      <x:c r="B129" s="31" t="n">
        <x:v>82</x:v>
      </x:c>
      <x:c r="C129" s="31" t="str">
        <x:v>EXPENSE</x:v>
      </x:c>
      <x:c r="D129" s="44" t="n">
        <x:v>24050</x:v>
      </x:c>
      <x:c r="E129" s="31" t="str">
        <x:v>VANTI 21/08/24</x:v>
      </x:c>
    </x:row>
    <x:row r="130">
      <x:c r="A130" s="31" t="str">
        <x:v>Hoja 4</x:v>
      </x:c>
      <x:c r="B130" s="31" t="n">
        <x:v>83</x:v>
      </x:c>
      <x:c r="C130" s="31" t="str">
        <x:v>EXPENSE</x:v>
      </x:c>
      <x:c r="D130" s="44" t="n">
        <x:v>2000000</x:v>
      </x:c>
      <x:c r="E130" s="31" t="str">
        <x:v>22/08/24 ELVIRA CIUDAD JARDIN</x:v>
      </x:c>
    </x:row>
    <x:row r="131">
      <x:c r="A131" s="31" t="str">
        <x:v>Hoja 4</x:v>
      </x:c>
      <x:c r="B131" s="31" t="n">
        <x:v>84</x:v>
      </x:c>
      <x:c r="C131" s="31" t="str">
        <x:v>EXPENSE</x:v>
      </x:c>
      <x:c r="D131" s="44" t="n">
        <x:v>9600</x:v>
      </x:c>
      <x:c r="E131" s="31" t="str">
        <x:v>4 X 1000 22/08/24</x:v>
      </x:c>
    </x:row>
    <x:row r="132">
      <x:c r="A132" s="31" t="str">
        <x:v>Hoja 4</x:v>
      </x:c>
      <x:c r="B132" s="31" t="n">
        <x:v>85</x:v>
      </x:c>
      <x:c r="C132" s="31" t="str">
        <x:v>EXPENSE</x:v>
      </x:c>
      <x:c r="D132" s="44" t="n">
        <x:v>400000</x:v>
      </x:c>
      <x:c r="E132" s="31" t="str">
        <x:v>NEQUI 22/08/24</x:v>
      </x:c>
    </x:row>
    <x:row r="133">
      <x:c r="A133" s="31" t="str">
        <x:v>Hoja 4</x:v>
      </x:c>
      <x:c r="B133" s="31" t="n">
        <x:v>86</x:v>
      </x:c>
      <x:c r="C133" s="31" t="str">
        <x:v>EXPENSE</x:v>
      </x:c>
      <x:c r="D133" s="44" t="n">
        <x:v>2100</x:v>
      </x:c>
      <x:c r="E133" s="31" t="str">
        <x:v>4+1000 22/08/24</x:v>
      </x:c>
    </x:row>
    <x:row r="134">
      <x:c r="A134" s="31" t="str">
        <x:v>Hoja 4</x:v>
      </x:c>
      <x:c r="B134" s="31" t="n">
        <x:v>87</x:v>
      </x:c>
      <x:c r="C134" s="31" t="str">
        <x:v>EXPENSE</x:v>
      </x:c>
      <x:c r="D134" s="44" t="n">
        <x:v>25000</x:v>
      </x:c>
      <x:c r="E134" s="31" t="str">
        <x:v>PESQUERIA JARAMILLO 22/08/24</x:v>
      </x:c>
    </x:row>
    <x:row r="135">
      <x:c r="A135" s="31" t="str">
        <x:v>Hoja 4</x:v>
      </x:c>
      <x:c r="B135" s="31" t="n">
        <x:v>88</x:v>
      </x:c>
      <x:c r="C135" s="31" t="str">
        <x:v>EXPENSE</x:v>
      </x:c>
      <x:c r="D135" s="44" t="n">
        <x:v>500000</x:v>
      </x:c>
      <x:c r="E135" s="31" t="str">
        <x:v>23/08/24 NEQUI</x:v>
      </x:c>
    </x:row>
    <x:row r="136">
      <x:c r="A136" s="31" t="str">
        <x:v>Hoja 4</x:v>
      </x:c>
      <x:c r="B136" s="31" t="n">
        <x:v>89</x:v>
      </x:c>
      <x:c r="C136" s="31" t="str">
        <x:v>EXPENSE</x:v>
      </x:c>
      <x:c r="D136" s="44" t="n">
        <x:v>127365</x:v>
      </x:c>
      <x:c r="E136" s="31" t="str">
        <x:v>27/08/24 MOVISTAR SUR</x:v>
      </x:c>
    </x:row>
    <x:row r="137">
      <x:c r="A137" s="31" t="str">
        <x:v>Hoja 4</x:v>
      </x:c>
      <x:c r="B137" s="31" t="n">
        <x:v>90</x:v>
      </x:c>
      <x:c r="C137" s="31" t="str">
        <x:v>EXPENSE</x:v>
      </x:c>
      <x:c r="D137" s="44" t="n">
        <x:v>509</x:v>
      </x:c>
      <x:c r="E137" s="31" t="str">
        <x:v>27/08/24 MOVISTAR SUR</x:v>
      </x:c>
    </x:row>
    <x:row r="138">
      <x:c r="A138" s="31" t="str">
        <x:v>Hoja 4</x:v>
      </x:c>
      <x:c r="B138" s="31" t="n">
        <x:v>92</x:v>
      </x:c>
      <x:c r="C138" s="31" t="str">
        <x:v>EXPENSE</x:v>
      </x:c>
      <x:c r="D138" s="44" t="n">
        <x:v>45120758</x:v>
      </x:c>
      <x:c r="E138" s="31"/>
    </x:row>
    <x:row r="139">
      <x:c r="A139" s="31" t="str">
        <x:v>Hoja 4</x:v>
      </x:c>
      <x:c r="B139" s="31" t="n">
        <x:v>96</x:v>
      </x:c>
      <x:c r="C139" s="31" t="str">
        <x:v>INCOME</x:v>
      </x:c>
      <x:c r="D139" s="44" t="n">
        <x:v>905000</x:v>
      </x:c>
      <x:c r="E139" s="31" t="str">
        <x:v>01/09/2024 INGENIERO EDUARDO NORTE</x:v>
      </x:c>
    </x:row>
    <x:row r="140">
      <x:c r="A140" s="31" t="str">
        <x:v>Hoja 4</x:v>
      </x:c>
      <x:c r="B140" s="31" t="n">
        <x:v>96</x:v>
      </x:c>
      <x:c r="C140" s="31" t="str">
        <x:v>EXPENSE</x:v>
      </x:c>
      <x:c r="D140" s="44" t="n">
        <x:v>23870</x:v>
      </x:c>
      <x:c r="E140" s="31" t="str">
        <x:v>04/09/2024 SEGURO 1</x:v>
      </x:c>
    </x:row>
    <x:row r="141">
      <x:c r="A141" s="31" t="str">
        <x:v>Hoja 4</x:v>
      </x:c>
      <x:c r="B141" s="31" t="n">
        <x:v>97</x:v>
      </x:c>
      <x:c r="C141" s="31" t="str">
        <x:v>INCOME</x:v>
      </x:c>
      <x:c r="D141" s="44" t="n">
        <x:v>1030000</x:v>
      </x:c>
      <x:c r="E141" s="31" t="str">
        <x:v>02/09/2024 SOFIA VALLEJO PRADO</x:v>
      </x:c>
    </x:row>
    <x:row r="142">
      <x:c r="A142" s="31" t="str">
        <x:v>Hoja 4</x:v>
      </x:c>
      <x:c r="B142" s="31" t="n">
        <x:v>97</x:v>
      </x:c>
      <x:c r="C142" s="31" t="str">
        <x:v>EXPENSE</x:v>
      </x:c>
      <x:c r="D142" s="44" t="n">
        <x:v>23290</x:v>
      </x:c>
      <x:c r="E142" s="31" t="str">
        <x:v>04/09/2024 SEGURO 2</x:v>
      </x:c>
    </x:row>
    <x:row r="143">
      <x:c r="A143" s="31" t="str">
        <x:v>Hoja 4</x:v>
      </x:c>
      <x:c r="B143" s="31" t="n">
        <x:v>98</x:v>
      </x:c>
      <x:c r="C143" s="31" t="str">
        <x:v>INCOME</x:v>
      </x:c>
      <x:c r="D143" s="44" t="n">
        <x:v>950000</x:v>
      </x:c>
      <x:c r="E143" s="31" t="str">
        <x:v>02/09/2024 STA RITA ? PISO 1</x:v>
      </x:c>
    </x:row>
    <x:row r="144">
      <x:c r="A144" s="31" t="str">
        <x:v>Hoja 4</x:v>
      </x:c>
      <x:c r="B144" s="31" t="n">
        <x:v>98</x:v>
      </x:c>
      <x:c r="C144" s="31" t="str">
        <x:v>EXPENSE</x:v>
      </x:c>
      <x:c r="D144" s="44" t="n">
        <x:v>124295</x:v>
      </x:c>
      <x:c r="E144" s="31" t="str">
        <x:v>06/09/2024CUOTA TC JDBP AVISOS</x:v>
      </x:c>
    </x:row>
    <x:row r="145">
      <x:c r="A145" s="31" t="str">
        <x:v>Hoja 4</x:v>
      </x:c>
      <x:c r="B145" s="31" t="n">
        <x:v>99</x:v>
      </x:c>
      <x:c r="C145" s="31" t="str">
        <x:v>INCOME</x:v>
      </x:c>
      <x:c r="D145" s="44" t="n">
        <x:v>770000</x:v>
      </x:c>
      <x:c r="E145" s="31" t="str">
        <x:v>02/09/2024 sta rita 4 piso ERMAN GUARIN</x:v>
      </x:c>
    </x:row>
    <x:row r="146">
      <x:c r="A146" s="31" t="str">
        <x:v>Hoja 4</x:v>
      </x:c>
      <x:c r="B146" s="31" t="n">
        <x:v>99</x:v>
      </x:c>
      <x:c r="C146" s="31" t="str">
        <x:v>EXPENSE</x:v>
      </x:c>
      <x:c r="D146" s="44" t="n">
        <x:v>2100000</x:v>
      </x:c>
      <x:c r="E146" s="31" t="str">
        <x:v>PAGO MANUEL RICAURTE 06/09/2024</x:v>
      </x:c>
    </x:row>
    <x:row r="147">
      <x:c r="A147" s="31" t="str">
        <x:v>Hoja 4</x:v>
      </x:c>
      <x:c r="B147" s="31" t="n">
        <x:v>100</x:v>
      </x:c>
      <x:c r="C147" s="31" t="str">
        <x:v>INCOME</x:v>
      </x:c>
      <x:c r="D147" s="44" t="n">
        <x:v>900000</x:v>
      </x:c>
      <x:c r="E147" s="31" t="str">
        <x:v>02/09/2024 COSTE NORTE EFECTIVO</x:v>
      </x:c>
    </x:row>
    <x:row r="148">
      <x:c r="A148" s="31" t="str">
        <x:v>Hoja 4</x:v>
      </x:c>
      <x:c r="B148" s="31" t="n">
        <x:v>100</x:v>
      </x:c>
      <x:c r="C148" s="31" t="str">
        <x:v>EXPENSE</x:v>
      </x:c>
      <x:c r="D148" s="44" t="n">
        <x:v>40000</x:v>
      </x:c>
      <x:c r="E148" s="31" t="str">
        <x:v>09/09/2024 ALMUERZO NIKO</x:v>
      </x:c>
    </x:row>
    <x:row r="149">
      <x:c r="A149" s="31" t="str">
        <x:v>Hoja 4</x:v>
      </x:c>
      <x:c r="B149" s="31" t="n">
        <x:v>101</x:v>
      </x:c>
      <x:c r="C149" s="31" t="str">
        <x:v>INCOME</x:v>
      </x:c>
      <x:c r="D149" s="44" t="n">
        <x:v>1173000</x:v>
      </x:c>
      <x:c r="E149" s="31" t="str">
        <x:v>02/09/24 Debbie cartageneros</x:v>
      </x:c>
    </x:row>
    <x:row r="150">
      <x:c r="A150" s="31" t="str">
        <x:v>Hoja 4</x:v>
      </x:c>
      <x:c r="B150" s="31" t="n">
        <x:v>101</x:v>
      </x:c>
      <x:c r="C150" s="31" t="str">
        <x:v>EXPENSE</x:v>
      </x:c>
      <x:c r="D150" s="44" t="n">
        <x:v>300000</x:v>
      </x:c>
      <x:c r="E150" s="31" t="str">
        <x:v>acueducto sur 09/09/2024</x:v>
      </x:c>
    </x:row>
    <x:row r="151">
      <x:c r="A151" s="31" t="str">
        <x:v>Hoja 4</x:v>
      </x:c>
      <x:c r="B151" s="31" t="n">
        <x:v>102</x:v>
      </x:c>
      <x:c r="C151" s="31" t="str">
        <x:v>INCOME</x:v>
      </x:c>
      <x:c r="D151" s="44" t="n">
        <x:v>700000</x:v>
      </x:c>
      <x:c r="E151" s="31" t="str">
        <x:v>abogado don roberto celis 03/09/2024</x:v>
      </x:c>
    </x:row>
    <x:row r="152">
      <x:c r="A152" s="31" t="str">
        <x:v>Hoja 4</x:v>
      </x:c>
      <x:c r="B152" s="31" t="n">
        <x:v>102</x:v>
      </x:c>
      <x:c r="C152" s="31" t="str">
        <x:v>EXPENSE</x:v>
      </x:c>
      <x:c r="D152" s="44" t="n">
        <x:v>18240000</x:v>
      </x:c>
      <x:c r="E152" s="31" t="str">
        <x:v>45545</x:v>
      </x:c>
    </x:row>
    <x:row r="153">
      <x:c r="A153" s="31" t="str">
        <x:v>Hoja 4</x:v>
      </x:c>
      <x:c r="B153" s="31" t="n">
        <x:v>103</x:v>
      </x:c>
      <x:c r="C153" s="31" t="str">
        <x:v>INCOME</x:v>
      </x:c>
      <x:c r="D153" s="44" t="n">
        <x:v>1000000</x:v>
      </x:c>
      <x:c r="E153" s="31" t="str">
        <x:v>45538</x:v>
      </x:c>
    </x:row>
    <x:row r="154">
      <x:c r="A154" s="31" t="str">
        <x:v>Hoja 4</x:v>
      </x:c>
      <x:c r="B154" s="31" t="n">
        <x:v>103</x:v>
      </x:c>
      <x:c r="C154" s="31" t="str">
        <x:v>EXPENSE</x:v>
      </x:c>
      <x:c r="D154" s="44" t="n">
        <x:v>1486000</x:v>
      </x:c>
      <x:c r="E154" s="31" t="str">
        <x:v>10/09/2024 PATRICIA DIAZ</x:v>
      </x:c>
    </x:row>
    <x:row r="155">
      <x:c r="A155" s="31" t="str">
        <x:v>Hoja 4</x:v>
      </x:c>
      <x:c r="B155" s="31" t="n">
        <x:v>104</x:v>
      </x:c>
      <x:c r="C155" s="31" t="str">
        <x:v>INCOME</x:v>
      </x:c>
      <x:c r="D155" s="44" t="n">
        <x:v>850000</x:v>
      </x:c>
      <x:c r="E155" s="31" t="str">
        <x:v>45538</x:v>
      </x:c>
    </x:row>
    <x:row r="156">
      <x:c r="A156" s="31" t="str">
        <x:v>Hoja 4</x:v>
      </x:c>
      <x:c r="B156" s="31" t="n">
        <x:v>104</x:v>
      </x:c>
      <x:c r="C156" s="31" t="str">
        <x:v>EXPENSE</x:v>
      </x:c>
      <x:c r="D156" s="44" t="n">
        <x:v>1700000</x:v>
      </x:c>
      <x:c r="E156" s="31" t="str">
        <x:v>10/09/2024 MYRIAM ALDANA</x:v>
      </x:c>
    </x:row>
    <x:row r="157">
      <x:c r="A157" s="31" t="str">
        <x:v>Hoja 4</x:v>
      </x:c>
      <x:c r="B157" s="31" t="n">
        <x:v>105</x:v>
      </x:c>
      <x:c r="C157" s="31" t="str">
        <x:v>INCOME</x:v>
      </x:c>
      <x:c r="D157" s="44" t="n">
        <x:v>1500000</x:v>
      </x:c>
      <x:c r="E157" s="31" t="str">
        <x:v>03/09/2024 BODEGA CARLOS JULIO</x:v>
      </x:c>
    </x:row>
    <x:row r="158">
      <x:c r="A158" s="31" t="str">
        <x:v>Hoja 4</x:v>
      </x:c>
      <x:c r="B158" s="31" t="n">
        <x:v>105</x:v>
      </x:c>
      <x:c r="C158" s="31" t="str">
        <x:v>EXPENSE</x:v>
      </x:c>
      <x:c r="D158" s="44" t="n">
        <x:v>1238000</x:v>
      </x:c>
      <x:c r="E158" s="31" t="str">
        <x:v>10/09/2024 GLADYS ALDANA</x:v>
      </x:c>
    </x:row>
    <x:row r="159">
      <x:c r="A159" s="31" t="str">
        <x:v>Hoja 4</x:v>
      </x:c>
      <x:c r="B159" s="31" t="n">
        <x:v>106</x:v>
      </x:c>
      <x:c r="C159" s="31" t="str">
        <x:v>INCOME</x:v>
      </x:c>
      <x:c r="D159" s="44" t="n">
        <x:v>2000000</x:v>
      </x:c>
      <x:c r="E159" s="31" t="str">
        <x:v>03/09/2024 BODEGA CARLOS JULIO</x:v>
      </x:c>
    </x:row>
    <x:row r="160">
      <x:c r="A160" s="31" t="str">
        <x:v>Hoja 4</x:v>
      </x:c>
      <x:c r="B160" s="31" t="n">
        <x:v>106</x:v>
      </x:c>
      <x:c r="C160" s="31" t="str">
        <x:v>EXPENSE</x:v>
      </x:c>
      <x:c r="D160" s="44" t="n">
        <x:v>1400000</x:v>
      </x:c>
      <x:c r="E160" s="31" t="str">
        <x:v>ISLAS CANARIAS 10/09/2024</x:v>
      </x:c>
    </x:row>
    <x:row r="161">
      <x:c r="A161" s="31" t="str">
        <x:v>Hoja 4</x:v>
      </x:c>
      <x:c r="B161" s="31" t="n">
        <x:v>107</x:v>
      </x:c>
      <x:c r="C161" s="31" t="str">
        <x:v>INCOME</x:v>
      </x:c>
      <x:c r="D161" s="44" t="n">
        <x:v>500000</x:v>
      </x:c>
      <x:c r="E161" s="31" t="str">
        <x:v>04/09/2024 tatiana sta rita</x:v>
      </x:c>
    </x:row>
    <x:row r="162">
      <x:c r="A162" s="31" t="str">
        <x:v>Hoja 4</x:v>
      </x:c>
      <x:c r="B162" s="31" t="n">
        <x:v>107</x:v>
      </x:c>
      <x:c r="C162" s="31" t="str">
        <x:v>EXPENSE</x:v>
      </x:c>
      <x:c r="D162" s="44" t="n">
        <x:v>900000</x:v>
      </x:c>
      <x:c r="E162" s="31" t="str">
        <x:v>DR. TRIVIÑO 10/09/2024</x:v>
      </x:c>
    </x:row>
    <x:row r="163">
      <x:c r="A163" s="31" t="str">
        <x:v>Hoja 4</x:v>
      </x:c>
      <x:c r="B163" s="31" t="n">
        <x:v>108</x:v>
      </x:c>
      <x:c r="C163" s="31" t="str">
        <x:v>INCOME</x:v>
      </x:c>
      <x:c r="D163" s="44" t="n">
        <x:v>1300000</x:v>
      </x:c>
      <x:c r="E163" s="31" t="str">
        <x:v>ANDRES DUQUE NORTE 04/09/2024</x:v>
      </x:c>
    </x:row>
    <x:row r="164">
      <x:c r="A164" s="31" t="str">
        <x:v>Hoja 4</x:v>
      </x:c>
      <x:c r="B164" s="31" t="n">
        <x:v>108</x:v>
      </x:c>
      <x:c r="C164" s="31" t="str">
        <x:v>EXPENSE</x:v>
      </x:c>
      <x:c r="D164" s="44" t="n">
        <x:v>980000</x:v>
      </x:c>
      <x:c r="E164" s="31" t="str">
        <x:v>MARCO AURELIO C JARDIN 10/09/2024</x:v>
      </x:c>
    </x:row>
    <x:row r="165">
      <x:c r="A165" s="31" t="str">
        <x:v>Hoja 4</x:v>
      </x:c>
      <x:c r="B165" s="31" t="n">
        <x:v>109</x:v>
      </x:c>
      <x:c r="C165" s="31" t="str">
        <x:v>INCOME</x:v>
      </x:c>
      <x:c r="D165" s="44" t="n">
        <x:v>1100000</x:v>
      </x:c>
      <x:c r="E165" s="31" t="str">
        <x:v>ENVIO NIKO X NEQUI ONZAGA RESTAURANTE 04/09/2024</x:v>
      </x:c>
    </x:row>
    <x:row r="166">
      <x:c r="A166" s="31" t="str">
        <x:v>Hoja 4</x:v>
      </x:c>
      <x:c r="B166" s="31" t="n">
        <x:v>109</x:v>
      </x:c>
      <x:c r="C166" s="31" t="str">
        <x:v>EXPENSE</x:v>
      </x:c>
      <x:c r="D166" s="44" t="n">
        <x:v>600000</x:v>
      </x:c>
      <x:c r="E166" s="31" t="str">
        <x:v>LUIS PARRA 10/09/2024</x:v>
      </x:c>
    </x:row>
    <x:row r="167">
      <x:c r="A167" s="31" t="str">
        <x:v>Hoja 4</x:v>
      </x:c>
      <x:c r="B167" s="31" t="n">
        <x:v>110</x:v>
      </x:c>
      <x:c r="C167" s="31" t="str">
        <x:v>INCOME</x:v>
      </x:c>
      <x:c r="D167" s="44" t="n">
        <x:v>1250000</x:v>
      </x:c>
      <x:c r="E167" s="31" t="str">
        <x:v>sta isabel juiban 05/09/2024</x:v>
      </x:c>
    </x:row>
    <x:row r="168">
      <x:c r="A168" s="31" t="str">
        <x:v>Hoja 4</x:v>
      </x:c>
      <x:c r="B168" s="31" t="n">
        <x:v>110</x:v>
      </x:c>
      <x:c r="C168" s="31" t="str">
        <x:v>EXPENSE</x:v>
      </x:c>
      <x:c r="D168" s="44" t="n">
        <x:v>1030000</x:v>
      </x:c>
      <x:c r="E168" s="31" t="str">
        <x:v>ADIELA FLOREZ 10/09/2024</x:v>
      </x:c>
    </x:row>
    <x:row r="169">
      <x:c r="A169" s="31" t="str">
        <x:v>Hoja 4</x:v>
      </x:c>
      <x:c r="B169" s="31" t="n">
        <x:v>111</x:v>
      </x:c>
      <x:c r="C169" s="31" t="str">
        <x:v>INCOME</x:v>
      </x:c>
      <x:c r="D169" s="44" t="n">
        <x:v>1060000</x:v>
      </x:c>
      <x:c r="E169" s="31" t="str">
        <x:v>45540</x:v>
      </x:c>
    </x:row>
    <x:row r="170">
      <x:c r="A170" s="31" t="str">
        <x:v>Hoja 4</x:v>
      </x:c>
      <x:c r="B170" s="31" t="n">
        <x:v>111</x:v>
      </x:c>
      <x:c r="C170" s="31" t="str">
        <x:v>EXPENSE</x:v>
      </x:c>
      <x:c r="D170" s="44" t="n">
        <x:v>1600000</x:v>
      </x:c>
      <x:c r="E170" s="31" t="str">
        <x:v>STELLA VELEZ 10/09/2024</x:v>
      </x:c>
    </x:row>
    <x:row r="171">
      <x:c r="A171" s="31" t="str">
        <x:v>Hoja 4</x:v>
      </x:c>
      <x:c r="B171" s="31" t="n">
        <x:v>112</x:v>
      </x:c>
      <x:c r="C171" s="31" t="str">
        <x:v>INCOME</x:v>
      </x:c>
      <x:c r="D171" s="44" t="n">
        <x:v>1760000</x:v>
      </x:c>
      <x:c r="E171" s="31" t="str">
        <x:v>05/09/2024 tacos peligrosa</x:v>
      </x:c>
    </x:row>
    <x:row r="172">
      <x:c r="A172" s="31" t="str">
        <x:v>Hoja 4</x:v>
      </x:c>
      <x:c r="B172" s="31" t="n">
        <x:v>112</x:v>
      </x:c>
      <x:c r="C172" s="31" t="str">
        <x:v>EXPENSE</x:v>
      </x:c>
      <x:c r="D172" s="44" t="n">
        <x:v>670000</x:v>
      </x:c>
      <x:c r="E172" s="31" t="str">
        <x:v>FLIA CRISTANCHO 10/09/2024</x:v>
      </x:c>
    </x:row>
    <x:row r="173">
      <x:c r="A173" s="31" t="str">
        <x:v>Hoja 4</x:v>
      </x:c>
      <x:c r="B173" s="31" t="n">
        <x:v>113</x:v>
      </x:c>
      <x:c r="C173" s="31" t="str">
        <x:v>INCOME</x:v>
      </x:c>
      <x:c r="D173" s="44" t="n">
        <x:v>800000</x:v>
      </x:c>
      <x:c r="E173" s="31" t="str">
        <x:v>45540</x:v>
      </x:c>
    </x:row>
    <x:row r="174">
      <x:c r="A174" s="31" t="str">
        <x:v>Hoja 4</x:v>
      </x:c>
      <x:c r="B174" s="31" t="n">
        <x:v>113</x:v>
      </x:c>
      <x:c r="C174" s="31" t="str">
        <x:v>EXPENSE</x:v>
      </x:c>
      <x:c r="D174" s="44" t="n">
        <x:v>380000</x:v>
      </x:c>
      <x:c r="E174" s="31" t="str">
        <x:v>MANUEL ROJAS 11/09/2024</x:v>
      </x:c>
    </x:row>
    <x:row r="175">
      <x:c r="A175" s="31" t="str">
        <x:v>Hoja 4</x:v>
      </x:c>
      <x:c r="B175" s="31" t="n">
        <x:v>114</x:v>
      </x:c>
      <x:c r="C175" s="31" t="str">
        <x:v>INCOME</x:v>
      </x:c>
      <x:c r="D175" s="44" t="n">
        <x:v>800000</x:v>
      </x:c>
      <x:c r="E175" s="31" t="str">
        <x:v>45540</x:v>
      </x:c>
    </x:row>
    <x:row r="176">
      <x:c r="A176" s="31" t="str">
        <x:v>Hoja 4</x:v>
      </x:c>
      <x:c r="B176" s="31" t="n">
        <x:v>114</x:v>
      </x:c>
      <x:c r="C176" s="31" t="str">
        <x:v>EXPENSE</x:v>
      </x:c>
      <x:c r="D176" s="44" t="n">
        <x:v>400000</x:v>
      </x:c>
      <x:c r="E176" s="31" t="str">
        <x:v>NICO KEINER 11/09/2024</x:v>
      </x:c>
    </x:row>
    <x:row r="177">
      <x:c r="A177" s="31" t="str">
        <x:v>Hoja 4</x:v>
      </x:c>
      <x:c r="B177" s="31" t="n">
        <x:v>115</x:v>
      </x:c>
      <x:c r="C177" s="31" t="str">
        <x:v>INCOME</x:v>
      </x:c>
      <x:c r="D177" s="44" t="n">
        <x:v>682000</x:v>
      </x:c>
      <x:c r="E177" s="31" t="str">
        <x:v>45540</x:v>
      </x:c>
    </x:row>
    <x:row r="178">
      <x:c r="A178" s="31" t="str">
        <x:v>Hoja 4</x:v>
      </x:c>
      <x:c r="B178" s="31" t="n">
        <x:v>115</x:v>
      </x:c>
      <x:c r="C178" s="31" t="str">
        <x:v>EXPENSE</x:v>
      </x:c>
      <x:c r="D178" s="44" t="n">
        <x:v>750000</x:v>
      </x:c>
      <x:c r="E178" s="31" t="str">
        <x:v>KEINER 11/09/2024 QUIEN DEL 1 DE SEP</x:v>
      </x:c>
    </x:row>
    <x:row r="179">
      <x:c r="A179" s="31" t="str">
        <x:v>Hoja 4</x:v>
      </x:c>
      <x:c r="B179" s="31" t="n">
        <x:v>116</x:v>
      </x:c>
      <x:c r="C179" s="31" t="str">
        <x:v>INCOME</x:v>
      </x:c>
      <x:c r="D179" s="44" t="n">
        <x:v>850000</x:v>
      </x:c>
      <x:c r="E179" s="31" t="str">
        <x:v>45540</x:v>
      </x:c>
    </x:row>
    <x:row r="180">
      <x:c r="A180" s="31" t="str">
        <x:v>Hoja 4</x:v>
      </x:c>
      <x:c r="B180" s="31" t="n">
        <x:v>116</x:v>
      </x:c>
      <x:c r="C180" s="31" t="str">
        <x:v>EXPENSE</x:v>
      </x:c>
      <x:c r="D180" s="44" t="n">
        <x:v>42780</x:v>
      </x:c>
      <x:c r="E180" s="31" t="str">
        <x:v>VALOR X TRANSFE.</x:v>
      </x:c>
    </x:row>
    <x:row r="181">
      <x:c r="A181" s="31" t="str">
        <x:v>Hoja 4</x:v>
      </x:c>
      <x:c r="B181" s="31" t="n">
        <x:v>117</x:v>
      </x:c>
      <x:c r="C181" s="31" t="str">
        <x:v>INCOME</x:v>
      </x:c>
      <x:c r="D181" s="44" t="n">
        <x:v>1236000</x:v>
      </x:c>
      <x:c r="E181" s="31" t="str">
        <x:v>ginnet 05/09/2024</x:v>
      </x:c>
    </x:row>
    <x:row r="182">
      <x:c r="A182" s="31" t="str">
        <x:v>Hoja 4</x:v>
      </x:c>
      <x:c r="B182" s="31" t="n">
        <x:v>117</x:v>
      </x:c>
      <x:c r="C182" s="31" t="str">
        <x:v>EXPENSE</x:v>
      </x:c>
      <x:c r="D182" s="44" t="n">
        <x:v>69335</x:v>
      </x:c>
      <x:c r="E182" s="31" t="str">
        <x:v>4XMIL</x:v>
      </x:c>
    </x:row>
    <x:row r="183">
      <x:c r="A183" s="31" t="str">
        <x:v>Hoja 4</x:v>
      </x:c>
      <x:c r="B183" s="31" t="n">
        <x:v>118</x:v>
      </x:c>
      <x:c r="C183" s="31" t="str">
        <x:v>INCOME</x:v>
      </x:c>
      <x:c r="D183" s="44" t="n">
        <x:v>840000</x:v>
      </x:c>
      <x:c r="E183" s="31" t="str">
        <x:v>45540</x:v>
      </x:c>
    </x:row>
    <x:row r="184">
      <x:c r="A184" s="31" t="str">
        <x:v>Hoja 4</x:v>
      </x:c>
      <x:c r="B184" s="31" t="n">
        <x:v>118</x:v>
      </x:c>
      <x:c r="C184" s="31" t="str">
        <x:v>EXPENSE</x:v>
      </x:c>
      <x:c r="D184" s="44" t="n">
        <x:v>1000000</x:v>
      </x:c>
      <x:c r="E184" s="31" t="str">
        <x:v>NICOLAS HIPOTECA 16/09/2024</x:v>
      </x:c>
    </x:row>
    <x:row r="185">
      <x:c r="A185" s="31" t="str">
        <x:v>Hoja 4</x:v>
      </x:c>
      <x:c r="B185" s="31" t="n">
        <x:v>119</x:v>
      </x:c>
      <x:c r="C185" s="31" t="str">
        <x:v>INCOME</x:v>
      </x:c>
      <x:c r="D185" s="44" t="n">
        <x:v>670000</x:v>
      </x:c>
      <x:c r="E185" s="31" t="str">
        <x:v>45541</x:v>
      </x:c>
    </x:row>
    <x:row r="186">
      <x:c r="A186" s="31" t="str">
        <x:v>Hoja 4</x:v>
      </x:c>
      <x:c r="B186" s="31" t="n">
        <x:v>119</x:v>
      </x:c>
      <x:c r="C186" s="31" t="str">
        <x:v>EXPENSE</x:v>
      </x:c>
      <x:c r="D186" s="44" t="n">
        <x:v>1350000</x:v>
      </x:c>
      <x:c r="E186" s="31" t="str">
        <x:v>galerias local 101</x:v>
      </x:c>
    </x:row>
    <x:row r="187">
      <x:c r="A187" s="31" t="str">
        <x:v>Hoja 4</x:v>
      </x:c>
      <x:c r="B187" s="31" t="n">
        <x:v>120</x:v>
      </x:c>
      <x:c r="C187" s="31" t="str">
        <x:v>INCOME</x:v>
      </x:c>
      <x:c r="D187" s="44" t="n">
        <x:v>1100000</x:v>
      </x:c>
      <x:c r="E187" s="31" t="str">
        <x:v>45541</x:v>
      </x:c>
    </x:row>
    <x:row r="188">
      <x:c r="A188" s="31" t="str">
        <x:v>Hoja 4</x:v>
      </x:c>
      <x:c r="B188" s="31" t="n">
        <x:v>121</x:v>
      </x:c>
      <x:c r="C188" s="31" t="str">
        <x:v>INCOME</x:v>
      </x:c>
      <x:c r="D188" s="44" t="n">
        <x:v>1100000</x:v>
      </x:c>
      <x:c r="E188" s="31" t="str">
        <x:v>45541</x:v>
      </x:c>
    </x:row>
    <x:row r="189">
      <x:c r="A189" s="31" t="str">
        <x:v>Hoja 4</x:v>
      </x:c>
      <x:c r="B189" s="31" t="n">
        <x:v>122</x:v>
      </x:c>
      <x:c r="C189" s="31" t="str">
        <x:v>INCOME</x:v>
      </x:c>
      <x:c r="D189" s="44" t="n">
        <x:v>700000</x:v>
      </x:c>
      <x:c r="E189" s="31" t="str">
        <x:v>45541</x:v>
      </x:c>
    </x:row>
    <x:row r="190">
      <x:c r="A190" s="31" t="str">
        <x:v>Hoja 4</x:v>
      </x:c>
      <x:c r="B190" s="31" t="n">
        <x:v>123</x:v>
      </x:c>
      <x:c r="C190" s="31" t="str">
        <x:v>INCOME</x:v>
      </x:c>
      <x:c r="D190" s="44" t="n">
        <x:v>1092000</x:v>
      </x:c>
      <x:c r="E190" s="31" t="str">
        <x:v>45541</x:v>
      </x:c>
    </x:row>
    <x:row r="191">
      <x:c r="A191" s="31" t="str">
        <x:v>Hoja 4</x:v>
      </x:c>
      <x:c r="B191" s="31" t="n">
        <x:v>124</x:v>
      </x:c>
      <x:c r="C191" s="31" t="str">
        <x:v>INCOME</x:v>
      </x:c>
      <x:c r="D191" s="44" t="n">
        <x:v>820000</x:v>
      </x:c>
      <x:c r="E191" s="31" t="str">
        <x:v>45542</x:v>
      </x:c>
    </x:row>
    <x:row r="192">
      <x:c r="A192" s="31" t="str">
        <x:v>Hoja 4</x:v>
      </x:c>
      <x:c r="B192" s="31" t="n">
        <x:v>125</x:v>
      </x:c>
      <x:c r="C192" s="31" t="str">
        <x:v>INCOME</x:v>
      </x:c>
      <x:c r="D192" s="44" t="n">
        <x:v>1780000</x:v>
      </x:c>
      <x:c r="E192" s="31" t="str">
        <x:v>fruteria san jose DAZA 07/09/2024</x:v>
      </x:c>
    </x:row>
    <x:row r="193">
      <x:c r="A193" s="31" t="str">
        <x:v>Hoja 4</x:v>
      </x:c>
      <x:c r="B193" s="31" t="n">
        <x:v>126</x:v>
      </x:c>
      <x:c r="C193" s="31" t="str">
        <x:v>INCOME</x:v>
      </x:c>
      <x:c r="D193" s="44" t="n">
        <x:v>1000000</x:v>
      </x:c>
      <x:c r="E193" s="31" t="str">
        <x:v>08/09/2024 NARIÑO 2 PISO</x:v>
      </x:c>
    </x:row>
    <x:row r="194">
      <x:c r="A194" s="31" t="str">
        <x:v>Hoja 4</x:v>
      </x:c>
      <x:c r="B194" s="31" t="n">
        <x:v>127</x:v>
      </x:c>
      <x:c r="C194" s="31" t="str">
        <x:v>INCOME</x:v>
      </x:c>
      <x:c r="D194" s="44" t="n">
        <x:v>290000</x:v>
      </x:c>
      <x:c r="E194" s="31" t="str">
        <x:v>45544</x:v>
      </x:c>
    </x:row>
    <x:row r="195">
      <x:c r="A195" s="31" t="str">
        <x:v>Hoja 4</x:v>
      </x:c>
      <x:c r="B195" s="31" t="n">
        <x:v>128</x:v>
      </x:c>
      <x:c r="C195" s="31" t="str">
        <x:v>INCOME</x:v>
      </x:c>
      <x:c r="D195" s="44" t="n">
        <x:v>1155000</x:v>
      </x:c>
      <x:c r="E195" s="31" t="str">
        <x:v>10/09/2024 APRAEZ</x:v>
      </x:c>
    </x:row>
    <x:row r="196">
      <x:c r="A196" s="31" t="str">
        <x:v>Hoja 4</x:v>
      </x:c>
      <x:c r="B196" s="31" t="n">
        <x:v>129</x:v>
      </x:c>
      <x:c r="C196" s="31" t="str">
        <x:v>INCOME</x:v>
      </x:c>
      <x:c r="D196" s="44" t="n">
        <x:v>129000</x:v>
      </x:c>
      <x:c r="E196" s="31" t="str">
        <x:v>saldo apraez 10/09/2024</x:v>
      </x:c>
    </x:row>
    <x:row r="197">
      <x:c r="A197" s="31" t="str">
        <x:v>Hoja 4</x:v>
      </x:c>
      <x:c r="B197" s="31" t="n">
        <x:v>130</x:v>
      </x:c>
      <x:c r="C197" s="31" t="str">
        <x:v>INCOME</x:v>
      </x:c>
      <x:c r="D197" s="44" t="n">
        <x:v>780000</x:v>
      </x:c>
      <x:c r="E197" s="31" t="str">
        <x:v>10/09/2024 villa debe 120</x:v>
      </x:c>
    </x:row>
    <x:row r="198">
      <x:c r="A198" s="31" t="str">
        <x:v>Hoja 4</x:v>
      </x:c>
      <x:c r="B198" s="31" t="n">
        <x:v>131</x:v>
      </x:c>
      <x:c r="C198" s="31" t="str">
        <x:v>INCOME</x:v>
      </x:c>
      <x:c r="D198" s="44" t="n">
        <x:v>2280000</x:v>
      </x:c>
      <x:c r="E198" s="31" t="str">
        <x:v>11/09/2024frazabella</x:v>
      </x:c>
    </x:row>
    <x:row r="199">
      <x:c r="A199" s="31" t="str">
        <x:v>Hoja 4</x:v>
      </x:c>
      <x:c r="B199" s="31" t="n">
        <x:v>132</x:v>
      </x:c>
      <x:c r="C199" s="31" t="str">
        <x:v>INCOME</x:v>
      </x:c>
      <x:c r="D199" s="44" t="n">
        <x:v>3770000</x:v>
      </x:c>
      <x:c r="E199" s="31" t="str">
        <x:v>11/09/2024frazabella</x:v>
      </x:c>
    </x:row>
    <x:row r="200">
      <x:c r="A200" s="31" t="str">
        <x:v>Hoja 4</x:v>
      </x:c>
      <x:c r="B200" s="31" t="n">
        <x:v>133</x:v>
      </x:c>
      <x:c r="C200" s="31" t="str">
        <x:v>INCOME</x:v>
      </x:c>
      <x:c r="D200" s="44" t="n">
        <x:v>1500000</x:v>
      </x:c>
      <x:c r="E200" s="31" t="str">
        <x:v>10/09/2024 en efectivo jvbl jose caceres jeans</x:v>
      </x:c>
    </x:row>
    <x:row r="201">
      <x:c r="A201" s="31" t="str">
        <x:v>Hoja 4</x:v>
      </x:c>
      <x:c r="B201" s="31" t="n">
        <x:v>134</x:v>
      </x:c>
      <x:c r="C201" s="31" t="str">
        <x:v>INCOME</x:v>
      </x:c>
      <x:c r="D201" s="44" t="n">
        <x:v>650000</x:v>
      </x:c>
      <x:c r="E201" s="31" t="str">
        <x:v>cesar sta rit 11/09/2024 (niqui niko cubre keiner)</x:v>
      </x:c>
    </x:row>
    <x:row r="202">
      <x:c r="A202" s="31" t="str">
        <x:v>Hoja 4</x:v>
      </x:c>
      <x:c r="B202" s="31" t="n">
        <x:v>135</x:v>
      </x:c>
      <x:c r="C202" s="31" t="str">
        <x:v>INCOME</x:v>
      </x:c>
      <x:c r="D202" s="44" t="n">
        <x:v>2700000</x:v>
      </x:c>
      <x:c r="E202" s="31" t="str">
        <x:v>RICAURTE 14/09/2024</x:v>
      </x:c>
    </x:row>
  </x:sheetData>
  <x:pageMargins left="0.7" right="0.7" top="0.75" bottom="0.75" header="0.3" footer="0.3"/>
  <x:tableParts count="1">
    <x:tablePart xmlns:r="http://schemas.openxmlformats.org/officeDocument/2006/relationships" r:id="R9674358ccbe64289"/>
  </x:tableParts>
</x:worksheet>
</file>